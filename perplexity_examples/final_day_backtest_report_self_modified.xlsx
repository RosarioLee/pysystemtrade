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PycharmProjects\PySystemTrade\pysystemtrade\perplexity_examples\"/>
    </mc:Choice>
  </mc:AlternateContent>
  <xr:revisionPtr revIDLastSave="0" documentId="13_ncr:1_{CD4CFB64-8B2C-446E-A516-1B5D9650F5D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inal_Day_Report" sheetId="1" r:id="rId1"/>
    <sheet name="Leverage_Analysis" sheetId="2" r:id="rId2"/>
    <sheet name="Leverage_Controls" sheetId="3" r:id="rId3"/>
    <sheet name="IVV_Timese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X32" i="1"/>
  <c r="X31" i="1"/>
  <c r="X30" i="1"/>
  <c r="X29" i="1"/>
  <c r="X28" i="1"/>
  <c r="X27" i="1"/>
  <c r="Y27" i="1" s="1"/>
  <c r="X26" i="1"/>
  <c r="X25" i="1"/>
  <c r="X24" i="1"/>
  <c r="X23" i="1"/>
  <c r="X22" i="1"/>
  <c r="X21" i="1"/>
  <c r="X20" i="1"/>
  <c r="Y20" i="1" s="1"/>
  <c r="X19" i="1"/>
  <c r="Y19" i="1" s="1"/>
  <c r="X18" i="1"/>
  <c r="Y18" i="1" s="1"/>
  <c r="X17" i="1"/>
  <c r="X16" i="1"/>
  <c r="X15" i="1"/>
  <c r="X14" i="1"/>
  <c r="X13" i="1"/>
  <c r="X12" i="1"/>
  <c r="Y12" i="1" s="1"/>
  <c r="X11" i="1"/>
  <c r="Y11" i="1" s="1"/>
  <c r="X10" i="1"/>
  <c r="X9" i="1"/>
  <c r="X8" i="1"/>
  <c r="X7" i="1"/>
  <c r="X6" i="1"/>
  <c r="X5" i="1"/>
  <c r="X4" i="1"/>
  <c r="X3" i="1"/>
  <c r="Y3" i="1" s="1"/>
  <c r="X2" i="1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2" i="4"/>
  <c r="Z101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X2" i="4"/>
  <c r="Y33" i="1"/>
  <c r="Y28" i="1"/>
  <c r="Y25" i="1"/>
  <c r="Y17" i="1"/>
  <c r="Y9" i="1"/>
  <c r="Y4" i="1"/>
  <c r="Y2" i="1"/>
  <c r="Y32" i="1"/>
  <c r="Y31" i="1"/>
  <c r="Y30" i="1"/>
  <c r="Y29" i="1"/>
  <c r="Y26" i="1"/>
  <c r="Y24" i="1"/>
  <c r="Y23" i="1"/>
  <c r="Y22" i="1"/>
  <c r="Y21" i="1"/>
  <c r="Y16" i="1"/>
  <c r="Y15" i="1"/>
  <c r="Y14" i="1"/>
  <c r="Y13" i="1"/>
  <c r="Y10" i="1"/>
  <c r="Y8" i="1"/>
  <c r="Y7" i="1"/>
  <c r="Y6" i="1"/>
  <c r="Y5" i="1"/>
</calcChain>
</file>

<file path=xl/sharedStrings.xml><?xml version="1.0" encoding="utf-8"?>
<sst xmlns="http://schemas.openxmlformats.org/spreadsheetml/2006/main" count="470" uniqueCount="86">
  <si>
    <t>Instrument</t>
  </si>
  <si>
    <t>Date</t>
  </si>
  <si>
    <t>Close_Price [EXTRACTED]</t>
  </si>
  <si>
    <t>Risk_Weight_Config [EXTRACTED]</t>
  </si>
  <si>
    <t>Daily_Volatility_Pct [CALCULATED/EXTRACTED]</t>
  </si>
  <si>
    <t>Daily_Volatility_Decimal [CALCULATED/EXTRACTED]</t>
  </si>
  <si>
    <t>Annual_Volatility_Pct [CALCULATED]</t>
  </si>
  <si>
    <t>Annual_Volatility_Decimal [CALCULATED]</t>
  </si>
  <si>
    <t>Target_Volatility [CONFIG]</t>
  </si>
  <si>
    <t>Daily_Cash_Vol_Target [CALCULATED]</t>
  </si>
  <si>
    <t>Portfolio_Value [EXTRACTED]</t>
  </si>
  <si>
    <t>Combined_Forecast [EXTRACTED]</t>
  </si>
  <si>
    <t>Volatility_Scalar [EXTRACTED/CALCULATED]</t>
  </si>
  <si>
    <t>Volatility_Scalar_Source [INFO]</t>
  </si>
  <si>
    <t>IDM [EXTRACTED]</t>
  </si>
  <si>
    <t>Instrument_Value_Volatility [CALCULATED]</t>
  </si>
  <si>
    <t>Subsystem_Position [EXTRACTED]</t>
  </si>
  <si>
    <t>Notional_Position [EXTRACTED]</t>
  </si>
  <si>
    <t>Position_Value [CALCULATED]</t>
  </si>
  <si>
    <t>Leverage_Contribution [CALCULATED]</t>
  </si>
  <si>
    <t>Risk_Exposure [CALCULATED]</t>
  </si>
  <si>
    <t>Native_Volatility_Scalar_PySystemTrade [EXTRACTED]</t>
  </si>
  <si>
    <t>Native_Volatility_Scalar_Source [INFO]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</si>
  <si>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</si>
  <si>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</si>
  <si>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</si>
  <si>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</si>
  <si>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</si>
  <si>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</si>
  <si>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</si>
  <si>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</si>
  <si>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</si>
  <si>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</si>
  <si>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</si>
  <si>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</si>
  <si>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</si>
  <si>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</si>
  <si>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</si>
  <si>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</si>
  <si>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</si>
  <si>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</si>
  <si>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</si>
  <si>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</si>
  <si>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</si>
  <si>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</si>
  <si>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</si>
  <si>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</si>
  <si>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</si>
  <si>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</si>
  <si>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</si>
  <si>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</si>
  <si>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</si>
  <si>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</si>
  <si>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</si>
  <si>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</si>
  <si>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CALCULATED</t>
  </si>
  <si>
    <t>REVERSE_ENGINEERED</t>
  </si>
  <si>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</si>
  <si>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</si>
  <si>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</si>
  <si>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</si>
  <si>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</si>
  <si>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</si>
  <si>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</si>
  <si>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</si>
  <si>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$1,562,124.03</t>
  </si>
  <si>
    <t>$0.00</t>
  </si>
  <si>
    <t>0.00x</t>
  </si>
  <si>
    <t>0.000x</t>
  </si>
  <si>
    <t>CONSERVATIVE</t>
  </si>
  <si>
    <t>Control_Check</t>
  </si>
  <si>
    <t>Status</t>
  </si>
  <si>
    <t>Overall Leverage</t>
  </si>
  <si>
    <t>Risk Leverage</t>
  </si>
  <si>
    <t>Position Concentration</t>
  </si>
  <si>
    <t>✅ PASS - Within safe limits</t>
  </si>
  <si>
    <t>✅ PASS - Conservative multiplier</t>
  </si>
  <si>
    <t>✅ PASS - Risk-appropriate leverage</t>
  </si>
  <si>
    <t>✅ PASS - Well diversified</t>
  </si>
  <si>
    <t>Native_Volatility_Scalar_PySystemTrade</t>
  </si>
  <si>
    <t>Native_Volatility_Scalar_Source</t>
  </si>
  <si>
    <t>ERROR</t>
  </si>
  <si>
    <t>Self calculated Volatility Scalar</t>
  </si>
  <si>
    <t>Missing Factor = Reverse Engineered Volatility Scalar / Self calculated Volatility Scalar</t>
  </si>
  <si>
    <t>Reverse engineer vol scalar</t>
  </si>
  <si>
    <t>Self cal vol scalar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</si>
</sst>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000"/>
    <numFmt numFmtId="167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166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166" fontId="0" fillId="2" borderId="0" xfId="0" applyNumberFormat="1" applyFill="1"/>
    <xf numFmtId="165" fontId="0" fillId="2" borderId="0" xfId="0" applyNumberFormat="1" applyFill="1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167" fontId="0" fillId="3" borderId="0" xfId="0" applyNumberFormat="1" applyFill="1"/>
    <xf numFmtId="165" fontId="0" fillId="3" borderId="0" xfId="0" applyNumberFormat="1" applyFill="1"/>
    <xf numFmtId="10" fontId="0" fillId="3" borderId="0" xfId="0" applyNumberFormat="1" applyFill="1"/>
    <xf numFmtId="2" fontId="0" fillId="3" borderId="0" xfId="0" applyNumberFormat="1" applyFill="1"/>
    <xf numFmtId="166" fontId="0" fillId="3" borderId="0" xfId="0" applyNumberFormat="1" applyFill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Z1" sqref="Z1:AA1048576"/>
    </sheetView>
  </sheetViews>
  <sheetFormatPr defaultRowHeight="15" x14ac:dyDescent="0.2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0" width="15.7109375" style="6" customWidth="1"/>
    <col min="11" max="11" width="15.7109375" style="2" customWidth="1"/>
    <col min="12" max="12" width="15.7109375" style="7" customWidth="1"/>
    <col min="13" max="13" width="15.7109375" style="8" customWidth="1"/>
    <col min="14" max="14" width="15.7109375" customWidth="1"/>
    <col min="15" max="15" width="12.7109375" style="8" customWidth="1"/>
    <col min="16" max="16" width="15.7109375" style="9" customWidth="1"/>
    <col min="17" max="18" width="15.7109375" style="6" customWidth="1"/>
    <col min="19" max="19" width="15.7109375" style="2" customWidth="1"/>
    <col min="20" max="20" width="15.7109375" style="3" customWidth="1"/>
    <col min="21" max="21" width="15.7109375" style="2" customWidth="1"/>
    <col min="22" max="22" width="20.7109375" style="8" customWidth="1"/>
    <col min="23" max="23" width="20.7109375" customWidth="1"/>
    <col min="24" max="25" width="22.140625" customWidth="1"/>
  </cols>
  <sheetData>
    <row r="1" spans="1:25" s="13" customFormat="1" ht="7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82</v>
      </c>
      <c r="Y1" s="12" t="s">
        <v>83</v>
      </c>
    </row>
    <row r="2" spans="1:25" x14ac:dyDescent="0.25">
      <c r="A2" t="s">
        <v>23</v>
      </c>
      <c r="B2" s="11">
        <v>45919</v>
      </c>
      <c r="C2" s="2">
        <v>56.759998321533203</v>
      </c>
      <c r="D2" s="3">
        <v>6.7473010795681729E-2</v>
      </c>
      <c r="E2" s="4">
        <v>0.72669359799504385</v>
      </c>
      <c r="F2" s="5">
        <v>7.2669359799504389E-3</v>
      </c>
      <c r="G2" s="4">
        <v>11.53590323782579</v>
      </c>
      <c r="H2" s="5">
        <v>0.1153590323782579</v>
      </c>
      <c r="I2" s="3">
        <v>0.12</v>
      </c>
      <c r="J2" s="6">
        <v>11715.93020413098</v>
      </c>
      <c r="K2" s="2">
        <v>1562124.0272174641</v>
      </c>
      <c r="L2" s="7">
        <v>5.1184067252253129</v>
      </c>
      <c r="M2" s="8">
        <v>1.0402306393011731</v>
      </c>
      <c r="N2" t="s">
        <v>55</v>
      </c>
      <c r="O2" s="8">
        <v>1.4699045933952291</v>
      </c>
      <c r="P2" s="9">
        <v>0.41247127402467609</v>
      </c>
      <c r="Q2" s="6">
        <v>9306.8421625146402</v>
      </c>
      <c r="R2" s="6">
        <v>923.04226111549815</v>
      </c>
      <c r="S2" s="2">
        <v>52391.877191619889</v>
      </c>
      <c r="T2" s="3">
        <v>3.3538871612482007E-2</v>
      </c>
      <c r="U2" s="2">
        <v>380.72841742092731</v>
      </c>
      <c r="V2" s="8">
        <v>18183.08442868997</v>
      </c>
      <c r="W2" t="s">
        <v>56</v>
      </c>
      <c r="X2">
        <f>(1000000*I2/16)/(C2*F2)</f>
        <v>18183.084428689963</v>
      </c>
      <c r="Y2">
        <f>V2/X2</f>
        <v>1.0000000000000004</v>
      </c>
    </row>
    <row r="3" spans="1:25" x14ac:dyDescent="0.25">
      <c r="A3" t="s">
        <v>24</v>
      </c>
      <c r="B3" s="11">
        <v>45919</v>
      </c>
      <c r="C3" s="2">
        <v>23.04000091552734</v>
      </c>
      <c r="D3" s="3">
        <v>8.5065973610555776E-2</v>
      </c>
      <c r="E3" s="4">
        <v>0.48174535365048282</v>
      </c>
      <c r="F3" s="5">
        <v>4.8174535365048277E-3</v>
      </c>
      <c r="G3" s="4">
        <v>7.6474704061202381</v>
      </c>
      <c r="H3" s="5">
        <v>7.6474704061202381E-2</v>
      </c>
      <c r="I3" s="3">
        <v>0.12</v>
      </c>
      <c r="J3" s="6">
        <v>11715.93020413098</v>
      </c>
      <c r="K3" s="2">
        <v>1562124.0272174641</v>
      </c>
      <c r="L3" s="7">
        <v>-0.33754753289741618</v>
      </c>
      <c r="M3" s="8">
        <v>1.5691463141062241</v>
      </c>
      <c r="N3" t="s">
        <v>55</v>
      </c>
      <c r="O3" s="8">
        <v>1.4699045933952291</v>
      </c>
      <c r="P3" s="9">
        <v>0.11099413389158171</v>
      </c>
      <c r="Q3" s="6">
        <v>-2280.847111436969</v>
      </c>
      <c r="R3" s="6">
        <v>-285.19453485618561</v>
      </c>
      <c r="S3" s="2">
        <v>6570.8823441899103</v>
      </c>
      <c r="T3" s="3">
        <v>4.2063768495349914E-3</v>
      </c>
      <c r="U3" s="2">
        <v>31.654920386974819</v>
      </c>
      <c r="V3" s="8">
        <v>67571.138555177604</v>
      </c>
      <c r="W3" t="s">
        <v>56</v>
      </c>
      <c r="X3">
        <f t="shared" ref="X3:X33" si="0">(1000000*I3/16)/(C3*F3)</f>
        <v>67571.138555177618</v>
      </c>
      <c r="Y3">
        <f t="shared" ref="Y3:Y33" si="1">V3/X3</f>
        <v>0.99999999999999978</v>
      </c>
    </row>
    <row r="4" spans="1:25" x14ac:dyDescent="0.25">
      <c r="A4" t="s">
        <v>25</v>
      </c>
      <c r="B4" s="11">
        <v>45919</v>
      </c>
      <c r="C4" s="2">
        <v>49.099998474121087</v>
      </c>
      <c r="D4" s="3">
        <v>5.4978008796481414E-3</v>
      </c>
      <c r="E4" s="4">
        <v>0.25163029992767022</v>
      </c>
      <c r="F4" s="5">
        <v>2.516302999276702E-3</v>
      </c>
      <c r="G4" s="4">
        <v>3.9945071756232582</v>
      </c>
      <c r="H4" s="5">
        <v>3.9945071756232582E-2</v>
      </c>
      <c r="I4" s="3">
        <v>0.12</v>
      </c>
      <c r="J4" s="6">
        <v>11715.93020413098</v>
      </c>
      <c r="K4" s="2">
        <v>1562124.0272174641</v>
      </c>
      <c r="L4" s="7">
        <v>5.0512971386692751</v>
      </c>
      <c r="M4" s="8">
        <v>3.0041252831465131</v>
      </c>
      <c r="N4" t="s">
        <v>55</v>
      </c>
      <c r="O4" s="8">
        <v>1.4699045933952291</v>
      </c>
      <c r="P4" s="9">
        <v>0.1235504734249124</v>
      </c>
      <c r="Q4" s="6">
        <v>30663.361693262919</v>
      </c>
      <c r="R4" s="6">
        <v>247.79806988334821</v>
      </c>
      <c r="S4" s="2">
        <v>12166.88485316255</v>
      </c>
      <c r="T4" s="3">
        <v>7.7886804384123248E-3</v>
      </c>
      <c r="U4" s="2">
        <v>30.615568847867191</v>
      </c>
      <c r="V4" s="8">
        <v>60703.935744593589</v>
      </c>
      <c r="W4" t="s">
        <v>56</v>
      </c>
      <c r="X4">
        <f t="shared" si="0"/>
        <v>60703.935744593597</v>
      </c>
      <c r="Y4">
        <f t="shared" si="1"/>
        <v>0.99999999999999989</v>
      </c>
    </row>
    <row r="5" spans="1:25" x14ac:dyDescent="0.25">
      <c r="A5" t="s">
        <v>26</v>
      </c>
      <c r="B5" s="11">
        <v>45919</v>
      </c>
      <c r="C5" s="2">
        <v>94.980003356933594</v>
      </c>
      <c r="D5" s="3">
        <v>5.0579768092762899E-2</v>
      </c>
      <c r="E5" s="4">
        <v>0.36631230739771581</v>
      </c>
      <c r="F5" s="5">
        <v>3.6631230739771581E-3</v>
      </c>
      <c r="G5" s="4">
        <v>5.8150276053396119</v>
      </c>
      <c r="H5" s="5">
        <v>5.8150276053396122E-2</v>
      </c>
      <c r="I5" s="3">
        <v>0.12</v>
      </c>
      <c r="J5" s="6">
        <v>11715.93020413098</v>
      </c>
      <c r="K5" s="2">
        <v>1562124.0272174641</v>
      </c>
      <c r="L5" s="7">
        <v>12.51599833547742</v>
      </c>
      <c r="M5" s="8">
        <v>2.063618750318756</v>
      </c>
      <c r="N5" t="s">
        <v>55</v>
      </c>
      <c r="O5" s="8">
        <v>1.4699045933952291</v>
      </c>
      <c r="P5" s="9">
        <v>0.34792344186321139</v>
      </c>
      <c r="Q5" s="6">
        <v>26980.069814607759</v>
      </c>
      <c r="R5" s="6">
        <v>2005.8989450915151</v>
      </c>
      <c r="S5" s="2">
        <v>190520.28853846161</v>
      </c>
      <c r="T5" s="3">
        <v>0.12196233155559751</v>
      </c>
      <c r="U5" s="2">
        <v>697.89926500602473</v>
      </c>
      <c r="V5" s="8">
        <v>21556.46644513444</v>
      </c>
      <c r="W5" t="s">
        <v>56</v>
      </c>
      <c r="X5">
        <f t="shared" si="0"/>
        <v>21556.466445134443</v>
      </c>
      <c r="Y5">
        <f t="shared" si="1"/>
        <v>0.99999999999999978</v>
      </c>
    </row>
    <row r="6" spans="1:25" x14ac:dyDescent="0.25">
      <c r="A6" t="s">
        <v>27</v>
      </c>
      <c r="B6" s="11">
        <v>45919</v>
      </c>
      <c r="C6" s="2">
        <v>39.639999389648438</v>
      </c>
      <c r="D6" s="3">
        <v>1.859256297481008E-2</v>
      </c>
      <c r="E6" s="4">
        <v>0.38785405429221559</v>
      </c>
      <c r="F6" s="5">
        <v>3.8785405429221571E-3</v>
      </c>
      <c r="G6" s="4">
        <v>6.156992235872079</v>
      </c>
      <c r="H6" s="5">
        <v>6.1569922358720788E-2</v>
      </c>
      <c r="I6" s="3">
        <v>0.12</v>
      </c>
      <c r="J6" s="6">
        <v>11715.93020413098</v>
      </c>
      <c r="K6" s="2">
        <v>1562124.0272174641</v>
      </c>
      <c r="L6" s="7">
        <v>0.88526824242588587</v>
      </c>
      <c r="M6" s="8">
        <v>1.949003594658637</v>
      </c>
      <c r="N6" t="s">
        <v>55</v>
      </c>
      <c r="O6" s="8">
        <v>1.4699045933952291</v>
      </c>
      <c r="P6" s="9">
        <v>0.15374534475416099</v>
      </c>
      <c r="Q6" s="6">
        <v>4318.5124263832058</v>
      </c>
      <c r="R6" s="6">
        <v>118.02189453313611</v>
      </c>
      <c r="S6" s="2">
        <v>4678.3878272586671</v>
      </c>
      <c r="T6" s="3">
        <v>2.9948888473292691E-3</v>
      </c>
      <c r="U6" s="2">
        <v>18.145316863536241</v>
      </c>
      <c r="V6" s="8">
        <v>48781.96482626845</v>
      </c>
      <c r="W6" t="s">
        <v>56</v>
      </c>
      <c r="X6">
        <f t="shared" si="0"/>
        <v>48781.964826268457</v>
      </c>
      <c r="Y6">
        <f t="shared" si="1"/>
        <v>0.99999999999999989</v>
      </c>
    </row>
    <row r="7" spans="1:25" x14ac:dyDescent="0.25">
      <c r="A7" t="s">
        <v>28</v>
      </c>
      <c r="B7" s="11">
        <v>45919</v>
      </c>
      <c r="C7" s="2">
        <v>25.610000610351559</v>
      </c>
      <c r="D7" s="3">
        <v>1.859256297481008E-2</v>
      </c>
      <c r="E7" s="4">
        <v>0.36834851543677782</v>
      </c>
      <c r="F7" s="5">
        <v>3.683485154367777E-3</v>
      </c>
      <c r="G7" s="4">
        <v>5.8473514058733027</v>
      </c>
      <c r="H7" s="5">
        <v>5.847351405873303E-2</v>
      </c>
      <c r="I7" s="3">
        <v>0.12</v>
      </c>
      <c r="J7" s="6">
        <v>11715.93020413098</v>
      </c>
      <c r="K7" s="2">
        <v>1562124.0272174641</v>
      </c>
      <c r="L7" s="7">
        <v>13.950211906541121</v>
      </c>
      <c r="M7" s="8">
        <v>2.0522111922240112</v>
      </c>
      <c r="N7" t="s">
        <v>55</v>
      </c>
      <c r="O7" s="8">
        <v>1.4699045933952291</v>
      </c>
      <c r="P7" s="9">
        <v>9.4334057051579684E-2</v>
      </c>
      <c r="Q7" s="6">
        <v>110910.7278634809</v>
      </c>
      <c r="R7" s="6">
        <v>3031.1118584553928</v>
      </c>
      <c r="S7" s="2">
        <v>77626.776545086468</v>
      </c>
      <c r="T7" s="3">
        <v>4.9693094269447527E-2</v>
      </c>
      <c r="U7" s="2">
        <v>285.93707898525082</v>
      </c>
      <c r="V7" s="8">
        <v>79504.690399345098</v>
      </c>
      <c r="W7" t="s">
        <v>56</v>
      </c>
      <c r="X7">
        <f t="shared" si="0"/>
        <v>79504.690399345112</v>
      </c>
      <c r="Y7">
        <f t="shared" si="1"/>
        <v>0.99999999999999978</v>
      </c>
    </row>
    <row r="8" spans="1:25" x14ac:dyDescent="0.25">
      <c r="A8" t="s">
        <v>29</v>
      </c>
      <c r="B8" s="11">
        <v>45919</v>
      </c>
      <c r="C8" s="2">
        <v>31.760000228881839</v>
      </c>
      <c r="D8" s="3">
        <v>1.129548180727709E-2</v>
      </c>
      <c r="E8" s="4">
        <v>1.308032868344821</v>
      </c>
      <c r="F8" s="5">
        <v>1.308032868344821E-2</v>
      </c>
      <c r="G8" s="4">
        <v>20.764378058033319</v>
      </c>
      <c r="H8" s="5">
        <v>0.2076437805803332</v>
      </c>
      <c r="I8" s="3">
        <v>0.12</v>
      </c>
      <c r="J8" s="6">
        <v>11715.93020413098</v>
      </c>
      <c r="K8" s="2">
        <v>1562124.0272174641</v>
      </c>
      <c r="L8" s="7">
        <v>-1.1904576624337551</v>
      </c>
      <c r="M8" s="8">
        <v>0.57791280656043742</v>
      </c>
      <c r="N8" t="s">
        <v>55</v>
      </c>
      <c r="O8" s="8">
        <v>1.4699045933952291</v>
      </c>
      <c r="P8" s="9">
        <v>0.41543124198016468</v>
      </c>
      <c r="Q8" s="6">
        <v>-2149.1962004820671</v>
      </c>
      <c r="R8" s="6">
        <v>-35.683707566439253</v>
      </c>
      <c r="S8" s="2">
        <v>1133.3145604774629</v>
      </c>
      <c r="T8" s="3">
        <v>7.2549588939886005E-4</v>
      </c>
      <c r="U8" s="2">
        <v>14.82412695278286</v>
      </c>
      <c r="V8" s="8">
        <v>18053.529061153509</v>
      </c>
      <c r="W8" t="s">
        <v>56</v>
      </c>
      <c r="X8">
        <f t="shared" si="0"/>
        <v>18053.529061153506</v>
      </c>
      <c r="Y8">
        <f t="shared" si="1"/>
        <v>1.0000000000000002</v>
      </c>
    </row>
    <row r="9" spans="1:25" x14ac:dyDescent="0.25">
      <c r="A9" t="s">
        <v>30</v>
      </c>
      <c r="B9" s="11">
        <v>45919</v>
      </c>
      <c r="C9" s="2">
        <v>62.540000915527337</v>
      </c>
      <c r="D9" s="3">
        <v>1.129548180727709E-2</v>
      </c>
      <c r="E9" s="4">
        <v>1.113586661043982</v>
      </c>
      <c r="F9" s="5">
        <v>1.113586661043982E-2</v>
      </c>
      <c r="G9" s="4">
        <v>17.677640210646931</v>
      </c>
      <c r="H9" s="5">
        <v>0.1767764021064693</v>
      </c>
      <c r="I9" s="3">
        <v>0.12</v>
      </c>
      <c r="J9" s="6">
        <v>11715.93020413098</v>
      </c>
      <c r="K9" s="2">
        <v>1562124.0272174641</v>
      </c>
      <c r="L9" s="7">
        <v>20</v>
      </c>
      <c r="M9" s="8">
        <v>0.67882363579119642</v>
      </c>
      <c r="N9" t="s">
        <v>55</v>
      </c>
      <c r="O9" s="8">
        <v>1.4699045933952291</v>
      </c>
      <c r="P9" s="9">
        <v>0.69643710801209657</v>
      </c>
      <c r="Q9" s="6">
        <v>21538.197530593759</v>
      </c>
      <c r="R9" s="6">
        <v>357.60473707217727</v>
      </c>
      <c r="S9" s="2">
        <v>22364.600583890879</v>
      </c>
      <c r="T9" s="3">
        <v>1.431678931648459E-2</v>
      </c>
      <c r="U9" s="2">
        <v>249.0492088979733</v>
      </c>
      <c r="V9" s="8">
        <v>10769.09876529688</v>
      </c>
      <c r="W9" t="s">
        <v>56</v>
      </c>
      <c r="X9">
        <f t="shared" si="0"/>
        <v>10769.098765296882</v>
      </c>
      <c r="Y9">
        <f t="shared" si="1"/>
        <v>0.99999999999999978</v>
      </c>
    </row>
    <row r="10" spans="1:25" x14ac:dyDescent="0.25">
      <c r="A10" t="s">
        <v>31</v>
      </c>
      <c r="B10" s="11">
        <v>45919</v>
      </c>
      <c r="C10" s="2">
        <v>45.459999084472663</v>
      </c>
      <c r="D10" s="3">
        <v>2.2491003598560579E-2</v>
      </c>
      <c r="E10" s="4">
        <v>0.57462808057765569</v>
      </c>
      <c r="F10" s="5">
        <v>5.7462808057765569E-3</v>
      </c>
      <c r="G10" s="4">
        <v>9.1219379853771709</v>
      </c>
      <c r="H10" s="5">
        <v>9.1219379853771709E-2</v>
      </c>
      <c r="I10" s="3">
        <v>0.12</v>
      </c>
      <c r="J10" s="6">
        <v>11715.93020413098</v>
      </c>
      <c r="K10" s="2">
        <v>1562124.0272174641</v>
      </c>
      <c r="L10" s="7">
        <v>20</v>
      </c>
      <c r="M10" s="8">
        <v>1.3155099299333619</v>
      </c>
      <c r="N10" t="s">
        <v>55</v>
      </c>
      <c r="O10" s="8">
        <v>1.4699045933952291</v>
      </c>
      <c r="P10" s="9">
        <v>0.26122592016972512</v>
      </c>
      <c r="Q10" s="6">
        <v>57421.560579647383</v>
      </c>
      <c r="R10" s="6">
        <v>1898.3355180594999</v>
      </c>
      <c r="S10" s="2">
        <v>86298.330913006779</v>
      </c>
      <c r="T10" s="3">
        <v>5.5244224792269411E-2</v>
      </c>
      <c r="U10" s="2">
        <v>495.89444249596448</v>
      </c>
      <c r="V10" s="8">
        <v>28710.780289823691</v>
      </c>
      <c r="W10" t="s">
        <v>56</v>
      </c>
      <c r="X10">
        <f t="shared" si="0"/>
        <v>28710.780289823688</v>
      </c>
      <c r="Y10">
        <f t="shared" si="1"/>
        <v>1.0000000000000002</v>
      </c>
    </row>
    <row r="11" spans="1:25" x14ac:dyDescent="0.25">
      <c r="A11" t="s">
        <v>32</v>
      </c>
      <c r="B11" s="11">
        <v>45919</v>
      </c>
      <c r="C11" s="2">
        <v>34.819999694824219</v>
      </c>
      <c r="D11" s="3">
        <v>4.498200719712115E-2</v>
      </c>
      <c r="E11" s="4">
        <v>0.89051435765445919</v>
      </c>
      <c r="F11" s="5">
        <v>8.9051435765445924E-3</v>
      </c>
      <c r="G11" s="4">
        <v>14.13647717571676</v>
      </c>
      <c r="H11" s="5">
        <v>0.14136477175716761</v>
      </c>
      <c r="I11" s="3">
        <v>0.12</v>
      </c>
      <c r="J11" s="6">
        <v>11715.93020413098</v>
      </c>
      <c r="K11" s="2">
        <v>1562124.0272174641</v>
      </c>
      <c r="L11" s="7">
        <v>14.183432558665739</v>
      </c>
      <c r="M11" s="8">
        <v>0.84886778020009512</v>
      </c>
      <c r="N11" t="s">
        <v>55</v>
      </c>
      <c r="O11" s="8">
        <v>1.4699045933952291</v>
      </c>
      <c r="P11" s="9">
        <v>0.31007709661764848</v>
      </c>
      <c r="Q11" s="6">
        <v>34306.224274656233</v>
      </c>
      <c r="R11" s="6">
        <v>2268.302128109623</v>
      </c>
      <c r="S11" s="2">
        <v>78982.279408546223</v>
      </c>
      <c r="T11" s="3">
        <v>5.0560824897644983E-2</v>
      </c>
      <c r="U11" s="2">
        <v>703.34853813586562</v>
      </c>
      <c r="V11" s="8">
        <v>24187.532977477971</v>
      </c>
      <c r="W11" t="s">
        <v>56</v>
      </c>
      <c r="X11">
        <f t="shared" si="0"/>
        <v>24187.532977477982</v>
      </c>
      <c r="Y11">
        <f t="shared" si="1"/>
        <v>0.99999999999999956</v>
      </c>
    </row>
    <row r="12" spans="1:25" s="14" customFormat="1" x14ac:dyDescent="0.25">
      <c r="A12" s="14" t="s">
        <v>33</v>
      </c>
      <c r="B12" s="15">
        <v>45919</v>
      </c>
      <c r="C12" s="16">
        <v>50.909999847412109</v>
      </c>
      <c r="D12" s="17">
        <v>7.297081167532987E-3</v>
      </c>
      <c r="E12" s="18">
        <v>0.32127957319954181</v>
      </c>
      <c r="F12" s="19">
        <v>3.2127957319954179E-3</v>
      </c>
      <c r="G12" s="18">
        <v>5.1001551120657593</v>
      </c>
      <c r="H12" s="19">
        <v>5.1001551120657587E-2</v>
      </c>
      <c r="I12" s="17">
        <v>0.12</v>
      </c>
      <c r="J12" s="20">
        <v>11715.93020413098</v>
      </c>
      <c r="K12" s="16">
        <v>1562124.0272174641</v>
      </c>
      <c r="L12" s="20">
        <v>14.21383951781238</v>
      </c>
      <c r="M12" s="19">
        <v>2.352869615986942</v>
      </c>
      <c r="N12" s="14" t="s">
        <v>55</v>
      </c>
      <c r="O12" s="19">
        <v>1.4699045933952291</v>
      </c>
      <c r="P12" s="16">
        <v>0.16356343022565301</v>
      </c>
      <c r="Q12" s="20">
        <v>56883.149648271537</v>
      </c>
      <c r="R12" s="20">
        <v>610.129409782381</v>
      </c>
      <c r="S12" s="16">
        <v>31061.688158922661</v>
      </c>
      <c r="T12" s="17">
        <v>1.9884265024878549E-2</v>
      </c>
      <c r="U12" s="16">
        <v>99.794859145559343</v>
      </c>
      <c r="V12" s="19">
        <v>40019.552476997647</v>
      </c>
      <c r="W12" s="14" t="s">
        <v>56</v>
      </c>
      <c r="X12" s="14">
        <f t="shared" si="0"/>
        <v>45853.770550378889</v>
      </c>
      <c r="Y12" s="14">
        <f t="shared" si="1"/>
        <v>0.8727647038977685</v>
      </c>
    </row>
    <row r="13" spans="1:25" x14ac:dyDescent="0.25">
      <c r="A13" t="s">
        <v>34</v>
      </c>
      <c r="B13" s="11">
        <v>45919</v>
      </c>
      <c r="C13" s="2">
        <v>37.139999389648438</v>
      </c>
      <c r="D13" s="3">
        <v>5.4978008796481414E-3</v>
      </c>
      <c r="E13" s="4">
        <v>0.2333826408400993</v>
      </c>
      <c r="F13" s="5">
        <v>2.3338264084009929E-3</v>
      </c>
      <c r="G13" s="4">
        <v>3.7048345678944559</v>
      </c>
      <c r="H13" s="5">
        <v>3.7048345678944557E-2</v>
      </c>
      <c r="I13" s="3">
        <v>0.12</v>
      </c>
      <c r="J13" s="6">
        <v>11715.93020413098</v>
      </c>
      <c r="K13" s="2">
        <v>1562124.0272174641</v>
      </c>
      <c r="L13" s="7">
        <v>18.60247640055055</v>
      </c>
      <c r="M13" s="8">
        <v>3.239011021973885</v>
      </c>
      <c r="N13" t="s">
        <v>55</v>
      </c>
      <c r="O13" s="8">
        <v>1.4699045933952291</v>
      </c>
      <c r="P13" s="9">
        <v>8.6678311383558304E-2</v>
      </c>
      <c r="Q13" s="6">
        <v>160961.34174412859</v>
      </c>
      <c r="R13" s="6">
        <v>1300.7676786721149</v>
      </c>
      <c r="S13" s="2">
        <v>48310.510791956767</v>
      </c>
      <c r="T13" s="3">
        <v>3.0926168441317649E-2</v>
      </c>
      <c r="U13" s="2">
        <v>112.74834588960989</v>
      </c>
      <c r="V13" s="8">
        <v>86526.835609566901</v>
      </c>
      <c r="W13" t="s">
        <v>56</v>
      </c>
      <c r="X13">
        <f t="shared" si="0"/>
        <v>86526.835609566915</v>
      </c>
      <c r="Y13">
        <f t="shared" si="1"/>
        <v>0.99999999999999978</v>
      </c>
    </row>
    <row r="14" spans="1:25" x14ac:dyDescent="0.25">
      <c r="A14" t="s">
        <v>35</v>
      </c>
      <c r="B14" s="11">
        <v>45919</v>
      </c>
      <c r="C14" s="2">
        <v>69.44000244140625</v>
      </c>
      <c r="D14" s="3">
        <v>9.9960015993602575E-2</v>
      </c>
      <c r="E14" s="4">
        <v>0.65170398666685103</v>
      </c>
      <c r="F14" s="5">
        <v>6.51703986666851E-3</v>
      </c>
      <c r="G14" s="4">
        <v>10.34548006289905</v>
      </c>
      <c r="H14" s="5">
        <v>0.1034548006289905</v>
      </c>
      <c r="I14" s="3">
        <v>0.12</v>
      </c>
      <c r="J14" s="6">
        <v>11715.93020413098</v>
      </c>
      <c r="K14" s="2">
        <v>1562124.0272174641</v>
      </c>
      <c r="L14" s="7">
        <v>18.687043878803429</v>
      </c>
      <c r="M14" s="8">
        <v>1.1599268402279741</v>
      </c>
      <c r="N14" t="s">
        <v>55</v>
      </c>
      <c r="O14" s="8">
        <v>1.4699045933952291</v>
      </c>
      <c r="P14" s="9">
        <v>0.4525432642522032</v>
      </c>
      <c r="Q14" s="6">
        <v>30970.039808816669</v>
      </c>
      <c r="R14" s="6">
        <v>4550.4801852062137</v>
      </c>
      <c r="S14" s="2">
        <v>315985.35517029022</v>
      </c>
      <c r="T14" s="3">
        <v>0.20227930027626531</v>
      </c>
      <c r="U14" s="2">
        <v>2059.2891569281901</v>
      </c>
      <c r="V14" s="8">
        <v>16573.00106409326</v>
      </c>
      <c r="W14" t="s">
        <v>56</v>
      </c>
      <c r="X14">
        <f t="shared" si="0"/>
        <v>16573.001064093256</v>
      </c>
      <c r="Y14">
        <f t="shared" si="1"/>
        <v>1.0000000000000002</v>
      </c>
    </row>
    <row r="15" spans="1:25" x14ac:dyDescent="0.25">
      <c r="A15" t="s">
        <v>36</v>
      </c>
      <c r="B15" s="11">
        <v>45919</v>
      </c>
      <c r="C15" s="2">
        <v>99.614997863769517</v>
      </c>
      <c r="D15" s="3">
        <v>5.4978008796481414E-3</v>
      </c>
      <c r="E15" s="4">
        <v>0.49756456702373569</v>
      </c>
      <c r="F15" s="5">
        <v>4.9756456702373568E-3</v>
      </c>
      <c r="G15" s="4">
        <v>7.8985926332540046</v>
      </c>
      <c r="H15" s="5">
        <v>7.8985926332540049E-2</v>
      </c>
      <c r="I15" s="3">
        <v>0.12</v>
      </c>
      <c r="J15" s="6">
        <v>11715.93020413098</v>
      </c>
      <c r="K15" s="2">
        <v>1562124.0272174641</v>
      </c>
      <c r="L15" s="7">
        <v>20</v>
      </c>
      <c r="M15" s="8">
        <v>1.5192579940733471</v>
      </c>
      <c r="N15" t="s">
        <v>55</v>
      </c>
      <c r="O15" s="8">
        <v>1.4699045933952291</v>
      </c>
      <c r="P15" s="9">
        <v>0.49564893281156841</v>
      </c>
      <c r="Q15" s="6">
        <v>30263.355788768691</v>
      </c>
      <c r="R15" s="6">
        <v>244.5655250610566</v>
      </c>
      <c r="S15" s="2">
        <v>24362.394256508818</v>
      </c>
      <c r="T15" s="3">
        <v>1.5595684998139601E-2</v>
      </c>
      <c r="U15" s="2">
        <v>121.2186414990136</v>
      </c>
      <c r="V15" s="8">
        <v>15131.67789438434</v>
      </c>
      <c r="W15" t="s">
        <v>56</v>
      </c>
      <c r="X15">
        <f t="shared" si="0"/>
        <v>15131.677894384344</v>
      </c>
      <c r="Y15">
        <f t="shared" si="1"/>
        <v>0.99999999999999978</v>
      </c>
    </row>
    <row r="16" spans="1:25" x14ac:dyDescent="0.25">
      <c r="A16" t="s">
        <v>37</v>
      </c>
      <c r="B16" s="11">
        <v>45919</v>
      </c>
      <c r="C16" s="2">
        <v>65.680000305175781</v>
      </c>
      <c r="D16" s="3">
        <v>4.498200719712115E-2</v>
      </c>
      <c r="E16" s="4">
        <v>0.67974026677553134</v>
      </c>
      <c r="F16" s="5">
        <v>6.7974026677553138E-3</v>
      </c>
      <c r="G16" s="4">
        <v>10.790542212028541</v>
      </c>
      <c r="H16" s="5">
        <v>0.10790542212028539</v>
      </c>
      <c r="I16" s="3">
        <v>0.12</v>
      </c>
      <c r="J16" s="6">
        <v>11715.93020413098</v>
      </c>
      <c r="K16" s="2">
        <v>1562124.0272174641</v>
      </c>
      <c r="L16" s="7">
        <v>19.798322677593902</v>
      </c>
      <c r="M16" s="8">
        <v>1.112084987408996</v>
      </c>
      <c r="N16" t="s">
        <v>55</v>
      </c>
      <c r="O16" s="8">
        <v>1.4699045933952291</v>
      </c>
      <c r="P16" s="9">
        <v>0.44645340929257171</v>
      </c>
      <c r="Q16" s="6">
        <v>33259.331655063448</v>
      </c>
      <c r="R16" s="6">
        <v>2199.0823638501429</v>
      </c>
      <c r="S16" s="2">
        <v>144435.73032878409</v>
      </c>
      <c r="T16" s="3">
        <v>9.246111564269352E-2</v>
      </c>
      <c r="U16" s="2">
        <v>981.78781865606413</v>
      </c>
      <c r="V16" s="8">
        <v>16799.065353502701</v>
      </c>
      <c r="W16" t="s">
        <v>56</v>
      </c>
      <c r="X16">
        <f t="shared" si="0"/>
        <v>16799.065353502698</v>
      </c>
      <c r="Y16">
        <f t="shared" si="1"/>
        <v>1.0000000000000002</v>
      </c>
    </row>
    <row r="17" spans="1:25" x14ac:dyDescent="0.25">
      <c r="A17" t="s">
        <v>38</v>
      </c>
      <c r="B17" s="11">
        <v>45919</v>
      </c>
      <c r="C17" s="2">
        <v>22.239999771118161</v>
      </c>
      <c r="D17" s="3">
        <v>6.3774490203918427E-2</v>
      </c>
      <c r="E17" s="4">
        <v>0.32169557102585911</v>
      </c>
      <c r="F17" s="5">
        <v>3.2169557102585899E-3</v>
      </c>
      <c r="G17" s="4">
        <v>5.1067588728320326</v>
      </c>
      <c r="H17" s="5">
        <v>5.1067588728320318E-2</v>
      </c>
      <c r="I17" s="3">
        <v>0.12</v>
      </c>
      <c r="J17" s="6">
        <v>11715.93020413098</v>
      </c>
      <c r="K17" s="2">
        <v>1562124.0272174641</v>
      </c>
      <c r="L17" s="7">
        <v>13.043787688974509</v>
      </c>
      <c r="M17" s="8">
        <v>2.3498270231320348</v>
      </c>
      <c r="N17" t="s">
        <v>55</v>
      </c>
      <c r="O17" s="8">
        <v>1.4699045933952291</v>
      </c>
      <c r="P17" s="9">
        <v>7.1545094259848313E-2</v>
      </c>
      <c r="Q17" s="6">
        <v>136736.70945488001</v>
      </c>
      <c r="R17" s="6">
        <v>12818.029512848279</v>
      </c>
      <c r="S17" s="2">
        <v>285072.97343193158</v>
      </c>
      <c r="T17" s="3">
        <v>0.18249061435903929</v>
      </c>
      <c r="U17" s="2">
        <v>917.06712972224784</v>
      </c>
      <c r="V17" s="8">
        <v>104828.99040932651</v>
      </c>
      <c r="W17" t="s">
        <v>56</v>
      </c>
      <c r="X17">
        <f t="shared" si="0"/>
        <v>104828.99040932654</v>
      </c>
      <c r="Y17">
        <f t="shared" si="1"/>
        <v>0.99999999999999967</v>
      </c>
    </row>
    <row r="18" spans="1:25" x14ac:dyDescent="0.25">
      <c r="A18" t="s">
        <v>39</v>
      </c>
      <c r="B18" s="11">
        <v>45919</v>
      </c>
      <c r="C18" s="2">
        <v>28.520000457763668</v>
      </c>
      <c r="D18" s="3">
        <v>3.378648540583766E-2</v>
      </c>
      <c r="E18" s="4">
        <v>0.91808759472223667</v>
      </c>
      <c r="F18" s="5">
        <v>9.1808759472223663E-3</v>
      </c>
      <c r="G18" s="4">
        <v>14.57418874445097</v>
      </c>
      <c r="H18" s="5">
        <v>0.14574188744450969</v>
      </c>
      <c r="I18" s="3">
        <v>0.12</v>
      </c>
      <c r="J18" s="6">
        <v>11715.93020413098</v>
      </c>
      <c r="K18" s="2">
        <v>1562124.0272174641</v>
      </c>
      <c r="L18" s="7">
        <v>18.855115187323509</v>
      </c>
      <c r="M18" s="8">
        <v>0.8233734453705992</v>
      </c>
      <c r="N18" t="s">
        <v>55</v>
      </c>
      <c r="O18" s="8">
        <v>1.4699045933952291</v>
      </c>
      <c r="P18" s="9">
        <v>0.26183858621745337</v>
      </c>
      <c r="Q18" s="6">
        <v>54007.839695362709</v>
      </c>
      <c r="R18" s="6">
        <v>2682.1864871041298</v>
      </c>
      <c r="S18" s="2">
        <v>76495.959840017327</v>
      </c>
      <c r="T18" s="3">
        <v>4.8969197392268439E-2</v>
      </c>
      <c r="U18" s="2">
        <v>702.29991775490316</v>
      </c>
      <c r="V18" s="8">
        <v>28643.601038127181</v>
      </c>
      <c r="W18" t="s">
        <v>56</v>
      </c>
      <c r="X18">
        <f t="shared" si="0"/>
        <v>28643.601038127184</v>
      </c>
      <c r="Y18">
        <f t="shared" si="1"/>
        <v>0.99999999999999989</v>
      </c>
    </row>
    <row r="19" spans="1:25" s="14" customFormat="1" x14ac:dyDescent="0.25">
      <c r="A19" s="14" t="s">
        <v>40</v>
      </c>
      <c r="B19" s="15">
        <v>45919</v>
      </c>
      <c r="C19" s="16">
        <v>666.8699951171875</v>
      </c>
      <c r="D19" s="17">
        <v>8.99640143942423E-2</v>
      </c>
      <c r="E19" s="18">
        <v>0.5976265591643416</v>
      </c>
      <c r="F19" s="19">
        <v>5.9762655916434163E-3</v>
      </c>
      <c r="G19" s="18">
        <v>9.4870275146164627</v>
      </c>
      <c r="H19" s="19">
        <v>9.4870275146164626E-2</v>
      </c>
      <c r="I19" s="17">
        <v>0.12</v>
      </c>
      <c r="J19" s="20">
        <v>11715.93020413098</v>
      </c>
      <c r="K19" s="16">
        <v>1562124.0272174641</v>
      </c>
      <c r="L19" s="20">
        <v>20</v>
      </c>
      <c r="M19" s="19">
        <v>1.264885126717705</v>
      </c>
      <c r="N19" s="14" t="s">
        <v>55</v>
      </c>
      <c r="O19" s="19">
        <v>1.4699045933952291</v>
      </c>
      <c r="P19" s="16">
        <v>3.9853922059182612</v>
      </c>
      <c r="Q19" s="20">
        <v>2689.4658084141779</v>
      </c>
      <c r="R19" s="20">
        <v>355.65097269822161</v>
      </c>
      <c r="S19" s="16">
        <v>237172.96242668599</v>
      </c>
      <c r="T19" s="17">
        <v>0.1518272290127633</v>
      </c>
      <c r="U19" s="16">
        <v>1417.4086146187401</v>
      </c>
      <c r="V19" s="19">
        <v>1344.7329042070889</v>
      </c>
      <c r="W19" s="14" t="s">
        <v>56</v>
      </c>
      <c r="X19" s="14">
        <f t="shared" si="0"/>
        <v>1881.8725014974907</v>
      </c>
      <c r="Y19" s="14">
        <f t="shared" si="1"/>
        <v>0.71457173806250129</v>
      </c>
    </row>
    <row r="20" spans="1:25" x14ac:dyDescent="0.25">
      <c r="A20" t="s">
        <v>41</v>
      </c>
      <c r="B20" s="11">
        <v>45919</v>
      </c>
      <c r="C20" s="2">
        <v>37.830001831054688</v>
      </c>
      <c r="D20" s="3">
        <v>1.129548180727709E-2</v>
      </c>
      <c r="E20" s="4">
        <v>0.72587905722430879</v>
      </c>
      <c r="F20" s="5">
        <v>7.2587905722430882E-3</v>
      </c>
      <c r="G20" s="4">
        <v>11.522972803953261</v>
      </c>
      <c r="H20" s="5">
        <v>0.1152297280395326</v>
      </c>
      <c r="I20" s="3">
        <v>0.12</v>
      </c>
      <c r="J20" s="6">
        <v>11715.93020413098</v>
      </c>
      <c r="K20" s="2">
        <v>1562124.0272174641</v>
      </c>
      <c r="L20" s="7">
        <v>3.1591311611815489</v>
      </c>
      <c r="M20" s="8">
        <v>1.0413979277884851</v>
      </c>
      <c r="N20" t="s">
        <v>55</v>
      </c>
      <c r="O20" s="8">
        <v>1.4699045933952291</v>
      </c>
      <c r="P20" s="9">
        <v>0.27460006063919851</v>
      </c>
      <c r="Q20" s="6">
        <v>8628.3606979944834</v>
      </c>
      <c r="R20" s="6">
        <v>143.25909372812609</v>
      </c>
      <c r="S20" s="2">
        <v>5419.4917780502437</v>
      </c>
      <c r="T20" s="3">
        <v>3.4693095321654591E-3</v>
      </c>
      <c r="U20" s="2">
        <v>39.338955824860037</v>
      </c>
      <c r="V20" s="8">
        <v>27312.44844790611</v>
      </c>
      <c r="W20" t="s">
        <v>56</v>
      </c>
      <c r="X20">
        <f t="shared" si="0"/>
        <v>27312.448447906107</v>
      </c>
      <c r="Y20">
        <f t="shared" si="1"/>
        <v>1.0000000000000002</v>
      </c>
    </row>
    <row r="21" spans="1:25" x14ac:dyDescent="0.25">
      <c r="A21" t="s">
        <v>42</v>
      </c>
      <c r="B21" s="11">
        <v>45919</v>
      </c>
      <c r="C21" s="2">
        <v>23.909999847412109</v>
      </c>
      <c r="D21" s="3">
        <v>6.3774490203918427E-2</v>
      </c>
      <c r="E21" s="4">
        <v>0.48933745833680942</v>
      </c>
      <c r="F21" s="5">
        <v>4.8933745833680941E-3</v>
      </c>
      <c r="G21" s="4">
        <v>7.7679913316857681</v>
      </c>
      <c r="H21" s="5">
        <v>7.7679913316857682E-2</v>
      </c>
      <c r="I21" s="3">
        <v>0.12</v>
      </c>
      <c r="J21" s="6">
        <v>11715.93020413098</v>
      </c>
      <c r="K21" s="2">
        <v>1562124.0272174641</v>
      </c>
      <c r="L21" s="7">
        <v>3.6707129199790329</v>
      </c>
      <c r="M21" s="8">
        <v>1.544800899951033</v>
      </c>
      <c r="N21" t="s">
        <v>55</v>
      </c>
      <c r="O21" s="8">
        <v>1.4699045933952291</v>
      </c>
      <c r="P21" s="9">
        <v>0.1170005855416614</v>
      </c>
      <c r="Q21" s="6">
        <v>23530.09326610573</v>
      </c>
      <c r="R21" s="6">
        <v>2205.7677936482742</v>
      </c>
      <c r="S21" s="2">
        <v>52739.907609556773</v>
      </c>
      <c r="T21" s="3">
        <v>3.3761664689006682E-2</v>
      </c>
      <c r="U21" s="2">
        <v>258.07612342578659</v>
      </c>
      <c r="V21" s="8">
        <v>64102.243294580847</v>
      </c>
      <c r="W21" t="s">
        <v>56</v>
      </c>
      <c r="X21">
        <f t="shared" si="0"/>
        <v>64102.243294580854</v>
      </c>
      <c r="Y21">
        <f t="shared" si="1"/>
        <v>0.99999999999999989</v>
      </c>
    </row>
    <row r="22" spans="1:25" x14ac:dyDescent="0.25">
      <c r="A22" t="s">
        <v>43</v>
      </c>
      <c r="B22" s="11">
        <v>45919</v>
      </c>
      <c r="C22" s="2">
        <v>24.409999847412109</v>
      </c>
      <c r="D22" s="3">
        <v>9.0963614554178344E-3</v>
      </c>
      <c r="E22" s="4">
        <v>9.2499376984108567E-2</v>
      </c>
      <c r="F22" s="5">
        <v>9.2499376984108567E-4</v>
      </c>
      <c r="G22" s="4">
        <v>1.4683820875701781</v>
      </c>
      <c r="H22" s="5">
        <v>1.468382087570178E-2</v>
      </c>
      <c r="I22" s="3">
        <v>0.12</v>
      </c>
      <c r="J22" s="6">
        <v>11715.93020413098</v>
      </c>
      <c r="K22" s="2">
        <v>1562124.0272174641</v>
      </c>
      <c r="L22" s="7">
        <v>13.321333549305219</v>
      </c>
      <c r="M22" s="8">
        <v>8.1722598644996651</v>
      </c>
      <c r="N22" t="s">
        <v>55</v>
      </c>
      <c r="O22" s="8">
        <v>1.4699045933952291</v>
      </c>
      <c r="P22" s="9">
        <v>2.2579097780678049E-2</v>
      </c>
      <c r="Q22" s="6">
        <v>442488.90097498317</v>
      </c>
      <c r="R22" s="6">
        <v>5916.4232901414434</v>
      </c>
      <c r="S22" s="2">
        <v>144419.8916095781</v>
      </c>
      <c r="T22" s="3">
        <v>9.2450976422676384E-2</v>
      </c>
      <c r="U22" s="2">
        <v>133.58749997998461</v>
      </c>
      <c r="V22" s="8">
        <v>332165.61940832232</v>
      </c>
      <c r="W22" t="s">
        <v>56</v>
      </c>
      <c r="X22">
        <f t="shared" si="0"/>
        <v>332165.61940832227</v>
      </c>
      <c r="Y22">
        <f t="shared" si="1"/>
        <v>1.0000000000000002</v>
      </c>
    </row>
    <row r="23" spans="1:25" x14ac:dyDescent="0.25">
      <c r="A23" t="s">
        <v>44</v>
      </c>
      <c r="B23" s="11">
        <v>45919</v>
      </c>
      <c r="C23" s="2">
        <v>26.979999542236332</v>
      </c>
      <c r="D23" s="3">
        <v>1.009596161535386E-2</v>
      </c>
      <c r="E23" s="4">
        <v>0.24680671569588061</v>
      </c>
      <c r="F23" s="5">
        <v>2.4680671569588062E-3</v>
      </c>
      <c r="G23" s="4">
        <v>3.9179351497915311</v>
      </c>
      <c r="H23" s="5">
        <v>3.9179351497915307E-2</v>
      </c>
      <c r="I23" s="3">
        <v>0.12</v>
      </c>
      <c r="J23" s="6">
        <v>11715.93020413098</v>
      </c>
      <c r="K23" s="2">
        <v>1562124.0272174641</v>
      </c>
      <c r="L23" s="7">
        <v>5.1600482510383046</v>
      </c>
      <c r="M23" s="8">
        <v>3.0628378319734328</v>
      </c>
      <c r="N23" t="s">
        <v>55</v>
      </c>
      <c r="O23" s="8">
        <v>1.4699045933952291</v>
      </c>
      <c r="P23" s="9">
        <v>6.6588450764957091E-2</v>
      </c>
      <c r="Q23" s="6">
        <v>58118.729957228243</v>
      </c>
      <c r="R23" s="6">
        <v>862.48778496652858</v>
      </c>
      <c r="S23" s="2">
        <v>23269.920043581369</v>
      </c>
      <c r="T23" s="3">
        <v>1.489633322203676E-2</v>
      </c>
      <c r="U23" s="2">
        <v>57.431725404620593</v>
      </c>
      <c r="V23" s="8">
        <v>112632.14437100189</v>
      </c>
      <c r="W23" t="s">
        <v>56</v>
      </c>
      <c r="X23">
        <f t="shared" si="0"/>
        <v>112632.14437100186</v>
      </c>
      <c r="Y23">
        <f t="shared" si="1"/>
        <v>1.0000000000000002</v>
      </c>
    </row>
    <row r="24" spans="1:25" x14ac:dyDescent="0.25">
      <c r="A24" t="s">
        <v>45</v>
      </c>
      <c r="B24" s="11">
        <v>45919</v>
      </c>
      <c r="C24" s="2">
        <v>25.159999847412109</v>
      </c>
      <c r="D24" s="3">
        <v>9.0963614554178344E-3</v>
      </c>
      <c r="E24" s="4">
        <v>0.22864188904079399</v>
      </c>
      <c r="F24" s="5">
        <v>2.2864188904079398E-3</v>
      </c>
      <c r="G24" s="4">
        <v>3.6295774661637918</v>
      </c>
      <c r="H24" s="5">
        <v>3.6295774661637921E-2</v>
      </c>
      <c r="I24" s="3">
        <v>0.12</v>
      </c>
      <c r="J24" s="6">
        <v>11715.93020413098</v>
      </c>
      <c r="K24" s="2">
        <v>1562124.0272174641</v>
      </c>
      <c r="L24" s="7">
        <v>2.1078383802932872</v>
      </c>
      <c r="M24" s="8">
        <v>3.3061699638231321</v>
      </c>
      <c r="N24" t="s">
        <v>55</v>
      </c>
      <c r="O24" s="8">
        <v>1.4699045933952291</v>
      </c>
      <c r="P24" s="9">
        <v>5.7526298933783929E-2</v>
      </c>
      <c r="Q24" s="6">
        <v>27480.975041339741</v>
      </c>
      <c r="R24" s="6">
        <v>367.44216727725421</v>
      </c>
      <c r="S24" s="2">
        <v>9244.8448726284896</v>
      </c>
      <c r="T24" s="3">
        <v>5.918124752933916E-3</v>
      </c>
      <c r="U24" s="2">
        <v>21.13758795566876</v>
      </c>
      <c r="V24" s="8">
        <v>130375.15256514119</v>
      </c>
      <c r="W24" t="s">
        <v>56</v>
      </c>
      <c r="X24">
        <f t="shared" si="0"/>
        <v>130375.15256514121</v>
      </c>
      <c r="Y24">
        <f t="shared" si="1"/>
        <v>0.99999999999999989</v>
      </c>
    </row>
    <row r="25" spans="1:25" x14ac:dyDescent="0.25">
      <c r="A25" t="s">
        <v>46</v>
      </c>
      <c r="B25" s="11">
        <v>45919</v>
      </c>
      <c r="C25" s="2">
        <v>23.95999908447266</v>
      </c>
      <c r="D25" s="3">
        <v>5.4978008796481414E-3</v>
      </c>
      <c r="E25" s="4">
        <v>0.21661839815572859</v>
      </c>
      <c r="F25" s="5">
        <v>2.1661839815572859E-3</v>
      </c>
      <c r="G25" s="4">
        <v>3.4387104655273828</v>
      </c>
      <c r="H25" s="5">
        <v>3.438710465527383E-2</v>
      </c>
      <c r="I25" s="3">
        <v>0.12</v>
      </c>
      <c r="J25" s="6">
        <v>11715.93020413098</v>
      </c>
      <c r="K25" s="2">
        <v>1562124.0272174641</v>
      </c>
      <c r="L25" s="7">
        <v>18.30831958962791</v>
      </c>
      <c r="M25" s="8">
        <v>3.4896802508668321</v>
      </c>
      <c r="N25" t="s">
        <v>55</v>
      </c>
      <c r="O25" s="8">
        <v>1.4699045933952291</v>
      </c>
      <c r="P25" s="9">
        <v>5.1901766214911917E-2</v>
      </c>
      <c r="Q25" s="6">
        <v>264562.08899256698</v>
      </c>
      <c r="R25" s="6">
        <v>2137.9904679880069</v>
      </c>
      <c r="S25" s="2">
        <v>51226.249655603911</v>
      </c>
      <c r="T25" s="3">
        <v>3.2792690441392637E-2</v>
      </c>
      <c r="U25" s="2">
        <v>110.96548143922369</v>
      </c>
      <c r="V25" s="8">
        <v>144503.75289627761</v>
      </c>
      <c r="W25" t="s">
        <v>56</v>
      </c>
      <c r="X25">
        <f t="shared" si="0"/>
        <v>144503.75289627761</v>
      </c>
      <c r="Y25">
        <f t="shared" si="1"/>
        <v>1</v>
      </c>
    </row>
    <row r="26" spans="1:25" x14ac:dyDescent="0.25">
      <c r="A26" t="s">
        <v>47</v>
      </c>
      <c r="B26" s="11">
        <v>45919</v>
      </c>
      <c r="C26" s="2">
        <v>30.29000091552734</v>
      </c>
      <c r="D26" s="3">
        <v>9.0963614554178344E-3</v>
      </c>
      <c r="E26" s="4">
        <v>9.5848549296130028E-2</v>
      </c>
      <c r="F26" s="5">
        <v>9.5848549296130028E-4</v>
      </c>
      <c r="G26" s="4">
        <v>1.5215485497832499</v>
      </c>
      <c r="H26" s="5">
        <v>1.52154854978325E-2</v>
      </c>
      <c r="I26" s="3">
        <v>0.12</v>
      </c>
      <c r="J26" s="6">
        <v>11715.93020413098</v>
      </c>
      <c r="K26" s="2">
        <v>1562124.0272174641</v>
      </c>
      <c r="L26" s="7">
        <v>16.864176506134619</v>
      </c>
      <c r="M26" s="8">
        <v>7.8867020061301618</v>
      </c>
      <c r="N26" t="s">
        <v>55</v>
      </c>
      <c r="O26" s="8">
        <v>1.4699045933952291</v>
      </c>
      <c r="P26" s="9">
        <v>2.9032526459317459E-2</v>
      </c>
      <c r="Q26" s="6">
        <v>435653.86558157363</v>
      </c>
      <c r="R26" s="6">
        <v>5825.033511773202</v>
      </c>
      <c r="S26" s="2">
        <v>176440.2704045877</v>
      </c>
      <c r="T26" s="3">
        <v>0.11294895112705761</v>
      </c>
      <c r="U26" s="2">
        <v>169.11543955696641</v>
      </c>
      <c r="V26" s="8">
        <v>258330.94513870709</v>
      </c>
      <c r="W26" t="s">
        <v>56</v>
      </c>
      <c r="X26">
        <f t="shared" si="0"/>
        <v>258330.94513870709</v>
      </c>
      <c r="Y26">
        <f t="shared" si="1"/>
        <v>1</v>
      </c>
    </row>
    <row r="27" spans="1:25" x14ac:dyDescent="0.25">
      <c r="A27" t="s">
        <v>48</v>
      </c>
      <c r="B27" s="11">
        <v>45919</v>
      </c>
      <c r="C27" s="2">
        <v>26.870000839233398</v>
      </c>
      <c r="D27" s="3">
        <v>9.0963614554178344E-3</v>
      </c>
      <c r="E27" s="4">
        <v>0.71792183287118561</v>
      </c>
      <c r="F27" s="5">
        <v>7.1792183287118557E-3</v>
      </c>
      <c r="G27" s="4">
        <v>11.396655783365</v>
      </c>
      <c r="H27" s="5">
        <v>0.11396655783365001</v>
      </c>
      <c r="I27" s="3">
        <v>0.12</v>
      </c>
      <c r="J27" s="6">
        <v>11715.93020413098</v>
      </c>
      <c r="K27" s="2">
        <v>1562124.0272174641</v>
      </c>
      <c r="L27" s="7">
        <v>1.1085838431564401</v>
      </c>
      <c r="M27" s="8">
        <v>1.052940461491841</v>
      </c>
      <c r="N27" t="s">
        <v>55</v>
      </c>
      <c r="O27" s="8">
        <v>1.4699045933952291</v>
      </c>
      <c r="P27" s="9">
        <v>0.19290560251752739</v>
      </c>
      <c r="Q27" s="6">
        <v>4310.0763871893532</v>
      </c>
      <c r="R27" s="6">
        <v>57.629098183634383</v>
      </c>
      <c r="S27" s="2">
        <v>1548.4939165585199</v>
      </c>
      <c r="T27" s="3">
        <v>9.9127462965714489E-4</v>
      </c>
      <c r="U27" s="2">
        <v>11.11697590765573</v>
      </c>
      <c r="V27" s="8">
        <v>38879.119642564823</v>
      </c>
      <c r="W27" t="s">
        <v>56</v>
      </c>
      <c r="X27">
        <f t="shared" si="0"/>
        <v>38879.119642564823</v>
      </c>
      <c r="Y27">
        <f t="shared" si="1"/>
        <v>1</v>
      </c>
    </row>
    <row r="28" spans="1:25" x14ac:dyDescent="0.25">
      <c r="A28" t="s">
        <v>49</v>
      </c>
      <c r="B28" s="11">
        <v>45919</v>
      </c>
      <c r="C28" s="2">
        <v>84.290000915527344</v>
      </c>
      <c r="D28" s="3">
        <v>9.0963614554178344E-3</v>
      </c>
      <c r="E28" s="4">
        <v>0.26580244378039719</v>
      </c>
      <c r="F28" s="5">
        <v>2.658024437803972E-3</v>
      </c>
      <c r="G28" s="4">
        <v>4.2194829846969482</v>
      </c>
      <c r="H28" s="5">
        <v>4.2194829846969477E-2</v>
      </c>
      <c r="I28" s="3">
        <v>0.12</v>
      </c>
      <c r="J28" s="6">
        <v>11715.93020413098</v>
      </c>
      <c r="K28" s="2">
        <v>1562124.0272174641</v>
      </c>
      <c r="L28" s="7">
        <v>14.58211697420179</v>
      </c>
      <c r="M28" s="8">
        <v>2.8439503236584009</v>
      </c>
      <c r="N28" t="s">
        <v>55</v>
      </c>
      <c r="O28" s="8">
        <v>1.4699045933952291</v>
      </c>
      <c r="P28" s="9">
        <v>0.22404488229599079</v>
      </c>
      <c r="Q28" s="6">
        <v>48814.27158065034</v>
      </c>
      <c r="R28" s="6">
        <v>652.68505635891029</v>
      </c>
      <c r="S28" s="2">
        <v>55014.823998043561</v>
      </c>
      <c r="T28" s="3">
        <v>3.5217961595558317E-2</v>
      </c>
      <c r="U28" s="2">
        <v>146.23074662828421</v>
      </c>
      <c r="V28" s="8">
        <v>33475.435471414057</v>
      </c>
      <c r="W28" t="s">
        <v>56</v>
      </c>
      <c r="X28">
        <f t="shared" si="0"/>
        <v>33475.435471414057</v>
      </c>
      <c r="Y28">
        <f t="shared" si="1"/>
        <v>1</v>
      </c>
    </row>
    <row r="29" spans="1:25" x14ac:dyDescent="0.25">
      <c r="A29" t="s">
        <v>50</v>
      </c>
      <c r="B29" s="11">
        <v>45919</v>
      </c>
      <c r="C29" s="2">
        <v>77.800003051757813</v>
      </c>
      <c r="D29" s="3">
        <v>9.0963614554178344E-3</v>
      </c>
      <c r="E29" s="4">
        <v>0.5681188732910234</v>
      </c>
      <c r="F29" s="5">
        <v>5.6811887329102336E-3</v>
      </c>
      <c r="G29" s="4">
        <v>9.0186075231015792</v>
      </c>
      <c r="H29" s="5">
        <v>9.0186075231015794E-2</v>
      </c>
      <c r="I29" s="3">
        <v>0.12</v>
      </c>
      <c r="J29" s="6">
        <v>11715.93020413098</v>
      </c>
      <c r="K29" s="2">
        <v>1562124.0272174641</v>
      </c>
      <c r="L29" s="7">
        <v>10.47839013436549</v>
      </c>
      <c r="M29" s="8">
        <v>1.330582350907437</v>
      </c>
      <c r="N29" t="s">
        <v>55</v>
      </c>
      <c r="O29" s="8">
        <v>1.4699045933952291</v>
      </c>
      <c r="P29" s="9">
        <v>0.44199650075802832</v>
      </c>
      <c r="Q29" s="6">
        <v>17780.214520468398</v>
      </c>
      <c r="R29" s="6">
        <v>237.73539869773509</v>
      </c>
      <c r="S29" s="2">
        <v>18495.81474419466</v>
      </c>
      <c r="T29" s="3">
        <v>1.184017044865532E-2</v>
      </c>
      <c r="U29" s="2">
        <v>105.07821433071371</v>
      </c>
      <c r="V29" s="8">
        <v>16968.460128388859</v>
      </c>
      <c r="W29" t="s">
        <v>56</v>
      </c>
      <c r="X29">
        <f t="shared" si="0"/>
        <v>16968.460128388862</v>
      </c>
      <c r="Y29">
        <f t="shared" si="1"/>
        <v>0.99999999999999978</v>
      </c>
    </row>
    <row r="30" spans="1:25" x14ac:dyDescent="0.25">
      <c r="A30" t="s">
        <v>51</v>
      </c>
      <c r="B30" s="11">
        <v>45919</v>
      </c>
      <c r="C30" s="2">
        <v>79.129997253417969</v>
      </c>
      <c r="D30" s="3">
        <v>0.1124550179928029</v>
      </c>
      <c r="E30" s="4">
        <v>0.68496994223571217</v>
      </c>
      <c r="F30" s="5">
        <v>6.8496994223571214E-3</v>
      </c>
      <c r="G30" s="4">
        <v>10.873560736259829</v>
      </c>
      <c r="H30" s="5">
        <v>0.10873560736259839</v>
      </c>
      <c r="I30" s="3">
        <v>0.12</v>
      </c>
      <c r="J30" s="6">
        <v>11715.93020413098</v>
      </c>
      <c r="K30" s="2">
        <v>1562124.0272174641</v>
      </c>
      <c r="L30" s="7">
        <v>11.65772582206451</v>
      </c>
      <c r="M30" s="8">
        <v>1.1035943322580479</v>
      </c>
      <c r="N30" t="s">
        <v>55</v>
      </c>
      <c r="O30" s="8">
        <v>1.4699045933952291</v>
      </c>
      <c r="P30" s="9">
        <v>0.54201669647785766</v>
      </c>
      <c r="Q30" s="6">
        <v>16131.04249991598</v>
      </c>
      <c r="R30" s="6">
        <v>2666.431442458183</v>
      </c>
      <c r="S30" s="2">
        <v>210994.7127181433</v>
      </c>
      <c r="T30" s="3">
        <v>0.1350691168190902</v>
      </c>
      <c r="U30" s="2">
        <v>1445.2503618258729</v>
      </c>
      <c r="V30" s="8">
        <v>13837.21211677911</v>
      </c>
      <c r="W30" t="s">
        <v>56</v>
      </c>
      <c r="X30">
        <f t="shared" si="0"/>
        <v>13837.212116779116</v>
      </c>
      <c r="Y30">
        <f t="shared" si="1"/>
        <v>0.99999999999999956</v>
      </c>
    </row>
    <row r="31" spans="1:25" x14ac:dyDescent="0.25">
      <c r="A31" t="s">
        <v>52</v>
      </c>
      <c r="B31" s="11">
        <v>45919</v>
      </c>
      <c r="C31" s="2">
        <v>47.040000915527337</v>
      </c>
      <c r="D31" s="3">
        <v>7.297081167532987E-3</v>
      </c>
      <c r="E31" s="4">
        <v>0.28412070474678092</v>
      </c>
      <c r="F31" s="5">
        <v>2.8412070474678089E-3</v>
      </c>
      <c r="G31" s="4">
        <v>4.5102763625063469</v>
      </c>
      <c r="H31" s="5">
        <v>4.510276362506347E-2</v>
      </c>
      <c r="I31" s="3">
        <v>0.12</v>
      </c>
      <c r="J31" s="6">
        <v>11715.93020413098</v>
      </c>
      <c r="K31" s="2">
        <v>1562124.0272174641</v>
      </c>
      <c r="L31" s="7">
        <v>10.22108219950711</v>
      </c>
      <c r="M31" s="8">
        <v>2.6605908453316229</v>
      </c>
      <c r="N31" t="s">
        <v>55</v>
      </c>
      <c r="O31" s="8">
        <v>1.4699045933952291</v>
      </c>
      <c r="P31" s="9">
        <v>0.1336503821140885</v>
      </c>
      <c r="Q31" s="6">
        <v>57357.199645613728</v>
      </c>
      <c r="R31" s="6">
        <v>615.21407630268709</v>
      </c>
      <c r="S31" s="2">
        <v>28939.670712523712</v>
      </c>
      <c r="T31" s="3">
        <v>1.852584699313059E-2</v>
      </c>
      <c r="U31" s="2">
        <v>82.223596379820123</v>
      </c>
      <c r="V31" s="8">
        <v>56116.56234246862</v>
      </c>
      <c r="W31" t="s">
        <v>56</v>
      </c>
      <c r="X31">
        <f t="shared" si="0"/>
        <v>56116.562342468642</v>
      </c>
      <c r="Y31">
        <f t="shared" si="1"/>
        <v>0.99999999999999956</v>
      </c>
    </row>
    <row r="32" spans="1:25" x14ac:dyDescent="0.25">
      <c r="A32" t="s">
        <v>53</v>
      </c>
      <c r="B32" s="11">
        <v>45919</v>
      </c>
      <c r="C32" s="2">
        <v>66.730003356933594</v>
      </c>
      <c r="D32" s="3">
        <v>2.479008396641344E-2</v>
      </c>
      <c r="E32" s="4">
        <v>0.34502034663945802</v>
      </c>
      <c r="F32" s="5">
        <v>3.4502034663945799E-3</v>
      </c>
      <c r="G32" s="4">
        <v>5.4770282067918341</v>
      </c>
      <c r="H32" s="5">
        <v>5.4770282067918341E-2</v>
      </c>
      <c r="I32" s="3">
        <v>0.12</v>
      </c>
      <c r="J32" s="6">
        <v>11715.93020413098</v>
      </c>
      <c r="K32" s="2">
        <v>1562124.0272174641</v>
      </c>
      <c r="L32" s="7">
        <v>9.3987004723737808</v>
      </c>
      <c r="M32" s="8">
        <v>2.190969180169513</v>
      </c>
      <c r="N32" t="s">
        <v>55</v>
      </c>
      <c r="O32" s="8">
        <v>1.4699045933952291</v>
      </c>
      <c r="P32" s="9">
        <v>0.2302320888946143</v>
      </c>
      <c r="Q32" s="6">
        <v>30617.041213168741</v>
      </c>
      <c r="R32" s="6">
        <v>1115.6561495269659</v>
      </c>
      <c r="S32" s="2">
        <v>74447.738603118065</v>
      </c>
      <c r="T32" s="3">
        <v>4.7658020301837488E-2</v>
      </c>
      <c r="U32" s="2">
        <v>256.85984579371558</v>
      </c>
      <c r="V32" s="8">
        <v>32575.823969668389</v>
      </c>
      <c r="W32" t="s">
        <v>56</v>
      </c>
      <c r="X32">
        <f t="shared" si="0"/>
        <v>32575.823969668396</v>
      </c>
      <c r="Y32">
        <f t="shared" si="1"/>
        <v>0.99999999999999978</v>
      </c>
    </row>
    <row r="33" spans="1:25" x14ac:dyDescent="0.25">
      <c r="A33" t="s">
        <v>54</v>
      </c>
      <c r="B33" s="11">
        <v>45919</v>
      </c>
      <c r="C33" s="2">
        <v>39.099998474121087</v>
      </c>
      <c r="D33" s="3">
        <v>2.35905637744902E-2</v>
      </c>
      <c r="E33" s="4">
        <v>0.53462285082013616</v>
      </c>
      <c r="F33" s="5">
        <v>5.3462285082013618E-3</v>
      </c>
      <c r="G33" s="4">
        <v>8.4868746508947854</v>
      </c>
      <c r="H33" s="5">
        <v>8.4868746508947851E-2</v>
      </c>
      <c r="I33" s="3">
        <v>0.12</v>
      </c>
      <c r="J33" s="6">
        <v>11715.93020413098</v>
      </c>
      <c r="K33" s="2">
        <v>1562124.0272174641</v>
      </c>
      <c r="L33" s="7">
        <v>8.0112507652581986</v>
      </c>
      <c r="M33" s="8">
        <v>1.413948066115813</v>
      </c>
      <c r="N33" t="s">
        <v>55</v>
      </c>
      <c r="O33" s="8">
        <v>1.4699045933952291</v>
      </c>
      <c r="P33" s="9">
        <v>0.20903752651297591</v>
      </c>
      <c r="Q33" s="6">
        <v>28743.346585526491</v>
      </c>
      <c r="R33" s="6">
        <v>996.70078103630078</v>
      </c>
      <c r="S33" s="2">
        <v>38970.999017674658</v>
      </c>
      <c r="T33" s="3">
        <v>2.4947442289260349E-2</v>
      </c>
      <c r="U33" s="2">
        <v>208.3478659413795</v>
      </c>
      <c r="V33" s="8">
        <v>35878.725342334357</v>
      </c>
      <c r="W33" t="s">
        <v>56</v>
      </c>
      <c r="X33">
        <f t="shared" si="0"/>
        <v>35878.725342334365</v>
      </c>
      <c r="Y33">
        <f t="shared" si="1"/>
        <v>0.99999999999999978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x14ac:dyDescent="0.25">
      <c r="A1" s="10" t="s">
        <v>57</v>
      </c>
      <c r="B1" s="10" t="s">
        <v>58</v>
      </c>
    </row>
    <row r="2" spans="1:2" x14ac:dyDescent="0.25">
      <c r="A2" t="s">
        <v>59</v>
      </c>
      <c r="B2" t="s">
        <v>65</v>
      </c>
    </row>
    <row r="3" spans="1:2" x14ac:dyDescent="0.25">
      <c r="A3" t="s">
        <v>60</v>
      </c>
      <c r="B3" t="s">
        <v>66</v>
      </c>
    </row>
    <row r="4" spans="1:2" x14ac:dyDescent="0.25">
      <c r="A4" t="s">
        <v>61</v>
      </c>
      <c r="B4" t="s">
        <v>67</v>
      </c>
    </row>
    <row r="5" spans="1:2" x14ac:dyDescent="0.25">
      <c r="A5" t="s">
        <v>62</v>
      </c>
      <c r="B5" t="s">
        <v>67</v>
      </c>
    </row>
    <row r="6" spans="1:2" x14ac:dyDescent="0.25">
      <c r="A6" t="s">
        <v>63</v>
      </c>
      <c r="B6" t="s">
        <v>68</v>
      </c>
    </row>
    <row r="7" spans="1:2" x14ac:dyDescent="0.25">
      <c r="A7" t="s">
        <v>64</v>
      </c>
      <c r="B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s="10" t="s">
        <v>70</v>
      </c>
      <c r="B1" s="10" t="s">
        <v>71</v>
      </c>
    </row>
    <row r="2" spans="1:2" x14ac:dyDescent="0.25">
      <c r="A2" t="s">
        <v>72</v>
      </c>
      <c r="B2" t="s">
        <v>75</v>
      </c>
    </row>
    <row r="3" spans="1:2" x14ac:dyDescent="0.25">
      <c r="A3" t="s">
        <v>62</v>
      </c>
      <c r="B3" t="s">
        <v>76</v>
      </c>
    </row>
    <row r="4" spans="1:2" x14ac:dyDescent="0.25">
      <c r="A4" t="s">
        <v>73</v>
      </c>
      <c r="B4" t="s">
        <v>77</v>
      </c>
    </row>
    <row r="5" spans="1:2" x14ac:dyDescent="0.25">
      <c r="A5" t="s">
        <v>74</v>
      </c>
      <c r="B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1"/>
  <sheetViews>
    <sheetView topLeftCell="D1" workbookViewId="0">
      <selection activeCell="Z101" sqref="Z101"/>
    </sheetView>
  </sheetViews>
  <sheetFormatPr defaultRowHeight="15" x14ac:dyDescent="0.25"/>
  <cols>
    <col min="1" max="1" width="12.7109375" style="1" customWidth="1"/>
    <col min="2" max="2" width="12.7109375" customWidth="1"/>
    <col min="3" max="3" width="12.7109375" style="2" customWidth="1"/>
    <col min="4" max="4" width="12.7109375" style="3" customWidth="1"/>
    <col min="5" max="7" width="15.7109375" style="5" customWidth="1"/>
    <col min="8" max="8" width="15.7109375" style="6" customWidth="1"/>
    <col min="9" max="9" width="15.7109375" style="2" customWidth="1"/>
    <col min="10" max="10" width="15.7109375" style="3" customWidth="1"/>
    <col min="11" max="12" width="15.7109375" style="2" customWidth="1"/>
  </cols>
  <sheetData>
    <row r="1" spans="1:26" s="13" customFormat="1" ht="90" x14ac:dyDescent="0.25">
      <c r="A1" s="12" t="s">
        <v>1</v>
      </c>
      <c r="B1" s="12" t="s">
        <v>0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79</v>
      </c>
      <c r="W1" s="12" t="s">
        <v>80</v>
      </c>
      <c r="X1" s="13" t="s">
        <v>84</v>
      </c>
      <c r="Y1" s="13" t="s">
        <v>85</v>
      </c>
    </row>
    <row r="2" spans="1:26" x14ac:dyDescent="0.25">
      <c r="A2" s="11">
        <v>45782</v>
      </c>
      <c r="B2" t="s">
        <v>40</v>
      </c>
      <c r="C2" s="2">
        <v>562.7122802734375</v>
      </c>
      <c r="D2" s="3">
        <v>8.99640143942423E-2</v>
      </c>
      <c r="E2" s="5">
        <v>59.762655916434163</v>
      </c>
      <c r="F2" s="5">
        <v>0.5976265591643416</v>
      </c>
      <c r="G2" s="5">
        <v>9.4870275146164627</v>
      </c>
      <c r="H2" s="6">
        <v>9.4870275146164626E-2</v>
      </c>
      <c r="I2" s="2">
        <v>0.12</v>
      </c>
      <c r="J2" s="3">
        <v>10933.150103194081</v>
      </c>
      <c r="K2" s="2">
        <v>1457753.347092543</v>
      </c>
      <c r="L2" s="2">
        <v>8.0929259354971812</v>
      </c>
      <c r="M2">
        <v>1.264885126717705</v>
      </c>
      <c r="N2" t="s">
        <v>55</v>
      </c>
      <c r="O2">
        <v>1.4794518319593259</v>
      </c>
      <c r="P2">
        <v>30.254160683066932</v>
      </c>
      <c r="Q2">
        <v>660.79169475236711</v>
      </c>
      <c r="R2">
        <v>87.949673614999739</v>
      </c>
      <c r="S2">
        <v>49490.361389201084</v>
      </c>
      <c r="T2">
        <v>3.3949749789913712E-2</v>
      </c>
      <c r="U2">
        <v>29576.754388828031</v>
      </c>
      <c r="W2" t="s">
        <v>81</v>
      </c>
      <c r="X2">
        <f>Q2*10/L2</f>
        <v>816.50530354417731</v>
      </c>
      <c r="Y2">
        <f>(1000000*I2/16)/(C2*F2/100)</f>
        <v>2230.2060038124264</v>
      </c>
      <c r="Z2">
        <f t="shared" ref="Z2:Z65" si="0">X2/Y2</f>
        <v>0.36611205518611378</v>
      </c>
    </row>
    <row r="3" spans="1:26" x14ac:dyDescent="0.25">
      <c r="A3" s="11">
        <v>45783</v>
      </c>
      <c r="B3" t="s">
        <v>40</v>
      </c>
      <c r="C3" s="2">
        <v>558.11053466796875</v>
      </c>
      <c r="D3" s="3">
        <v>8.99640143942423E-2</v>
      </c>
      <c r="E3" s="5">
        <v>59.762655916434163</v>
      </c>
      <c r="F3" s="5">
        <v>0.5976265591643416</v>
      </c>
      <c r="G3" s="5">
        <v>9.4870275146164627</v>
      </c>
      <c r="H3" s="6">
        <v>9.4870275146164626E-2</v>
      </c>
      <c r="I3" s="2">
        <v>0.12</v>
      </c>
      <c r="J3" s="3">
        <v>10958.56104094791</v>
      </c>
      <c r="K3" s="2">
        <v>1461141.472126388</v>
      </c>
      <c r="L3" s="2">
        <v>6.6282391588612803</v>
      </c>
      <c r="M3">
        <v>1.264885126717705</v>
      </c>
      <c r="N3" t="s">
        <v>55</v>
      </c>
      <c r="O3">
        <v>1.479261176251166</v>
      </c>
      <c r="P3">
        <v>30.00674836268395</v>
      </c>
      <c r="Q3">
        <v>551.67941677191629</v>
      </c>
      <c r="R3">
        <v>73.417647794331515</v>
      </c>
      <c r="S3">
        <v>40975.162664558979</v>
      </c>
      <c r="T3">
        <v>2.8043254843029091E-2</v>
      </c>
      <c r="U3">
        <v>24487.845474419581</v>
      </c>
      <c r="W3" t="s">
        <v>81</v>
      </c>
      <c r="X3">
        <f t="shared" ref="X3:X66" si="1">Q3*10/L3</f>
        <v>832.31670365179434</v>
      </c>
      <c r="Y3">
        <f t="shared" ref="Y3:Y66" si="2">(1000000*I3/16)/(C3*F3/100)</f>
        <v>2248.594548804575</v>
      </c>
      <c r="Z3">
        <f t="shared" si="0"/>
        <v>0.37014974713617471</v>
      </c>
    </row>
    <row r="4" spans="1:26" x14ac:dyDescent="0.25">
      <c r="A4" s="11">
        <v>45784</v>
      </c>
      <c r="B4" t="s">
        <v>40</v>
      </c>
      <c r="C4" s="2">
        <v>560.32696533203125</v>
      </c>
      <c r="D4" s="3">
        <v>8.99640143942423E-2</v>
      </c>
      <c r="E4" s="5">
        <v>59.762655916434163</v>
      </c>
      <c r="F4" s="5">
        <v>0.5976265591643416</v>
      </c>
      <c r="G4" s="5">
        <v>9.4870275146164627</v>
      </c>
      <c r="H4" s="6">
        <v>9.4870275146164626E-2</v>
      </c>
      <c r="I4" s="2">
        <v>0.12</v>
      </c>
      <c r="J4" s="3">
        <v>10934.043423231889</v>
      </c>
      <c r="K4" s="2">
        <v>1457872.456430919</v>
      </c>
      <c r="L4" s="2">
        <v>6.0710430287167583</v>
      </c>
      <c r="M4">
        <v>1.264885126717705</v>
      </c>
      <c r="N4" t="s">
        <v>55</v>
      </c>
      <c r="O4">
        <v>1.479073546824087</v>
      </c>
      <c r="P4">
        <v>30.1259145010537</v>
      </c>
      <c r="Q4">
        <v>518.42878770039022</v>
      </c>
      <c r="R4">
        <v>68.983893951788303</v>
      </c>
      <c r="S4">
        <v>38653.535954792213</v>
      </c>
      <c r="T4">
        <v>2.6513660906538838E-2</v>
      </c>
      <c r="U4">
        <v>23100.379692197632</v>
      </c>
      <c r="W4" t="s">
        <v>81</v>
      </c>
      <c r="X4">
        <f t="shared" si="1"/>
        <v>853.93693513315623</v>
      </c>
      <c r="Y4">
        <f t="shared" si="2"/>
        <v>2239.7000029101773</v>
      </c>
      <c r="Z4">
        <f t="shared" si="0"/>
        <v>0.38127290888225407</v>
      </c>
    </row>
    <row r="5" spans="1:26" x14ac:dyDescent="0.25">
      <c r="A5" s="11">
        <v>45785</v>
      </c>
      <c r="B5" t="s">
        <v>40</v>
      </c>
      <c r="C5" s="2">
        <v>563.865234375</v>
      </c>
      <c r="D5" s="3">
        <v>8.99640143942423E-2</v>
      </c>
      <c r="E5" s="5">
        <v>59.762655916434163</v>
      </c>
      <c r="F5" s="5">
        <v>0.5976265591643416</v>
      </c>
      <c r="G5" s="5">
        <v>9.4870275146164627</v>
      </c>
      <c r="H5" s="6">
        <v>9.4870275146164626E-2</v>
      </c>
      <c r="I5" s="2">
        <v>0.12</v>
      </c>
      <c r="J5" s="3">
        <v>10874.930578288269</v>
      </c>
      <c r="K5" s="2">
        <v>1449990.74377177</v>
      </c>
      <c r="L5" s="2">
        <v>7.2460328589788716</v>
      </c>
      <c r="M5">
        <v>1.264885126717705</v>
      </c>
      <c r="N5" t="s">
        <v>55</v>
      </c>
      <c r="O5">
        <v>1.4788888956418831</v>
      </c>
      <c r="P5">
        <v>30.316149127022559</v>
      </c>
      <c r="Q5">
        <v>634.01066421246003</v>
      </c>
      <c r="R5">
        <v>84.353078545422136</v>
      </c>
      <c r="S5">
        <v>47563.768404267234</v>
      </c>
      <c r="T5">
        <v>3.2802808299687902E-2</v>
      </c>
      <c r="U5">
        <v>28425.37125233185</v>
      </c>
      <c r="W5" t="s">
        <v>81</v>
      </c>
      <c r="X5">
        <f t="shared" si="1"/>
        <v>874.97624776408531</v>
      </c>
      <c r="Y5">
        <f t="shared" si="2"/>
        <v>2225.6458270136654</v>
      </c>
      <c r="Z5">
        <f t="shared" si="0"/>
        <v>0.39313364109603816</v>
      </c>
    </row>
    <row r="6" spans="1:26" x14ac:dyDescent="0.25">
      <c r="A6" s="11">
        <v>45786</v>
      </c>
      <c r="B6" t="s">
        <v>40</v>
      </c>
      <c r="C6" s="2">
        <v>563.42791748046875</v>
      </c>
      <c r="D6" s="3">
        <v>8.99640143942423E-2</v>
      </c>
      <c r="E6" s="5">
        <v>59.762655916434163</v>
      </c>
      <c r="F6" s="5">
        <v>0.5976265591643416</v>
      </c>
      <c r="G6" s="5">
        <v>9.4870275146164627</v>
      </c>
      <c r="H6" s="6">
        <v>9.4870275146164626E-2</v>
      </c>
      <c r="I6" s="2">
        <v>0.12</v>
      </c>
      <c r="J6" s="3">
        <v>10906.993674861749</v>
      </c>
      <c r="K6" s="2">
        <v>1454265.8233149</v>
      </c>
      <c r="L6" s="2">
        <v>7.5116938629031322</v>
      </c>
      <c r="M6">
        <v>1.264885126717705</v>
      </c>
      <c r="N6" t="s">
        <v>55</v>
      </c>
      <c r="O6">
        <v>1.478707175430825</v>
      </c>
      <c r="P6">
        <v>30.292636834754578</v>
      </c>
      <c r="Q6">
        <v>673.90242137138432</v>
      </c>
      <c r="R6">
        <v>89.649531313594068</v>
      </c>
      <c r="S6">
        <v>50511.048731118382</v>
      </c>
      <c r="T6">
        <v>3.4733023303801423E-2</v>
      </c>
      <c r="U6">
        <v>30186.74425296066</v>
      </c>
      <c r="W6" t="s">
        <v>81</v>
      </c>
      <c r="X6">
        <f t="shared" si="1"/>
        <v>897.1377610308167</v>
      </c>
      <c r="Y6">
        <f t="shared" si="2"/>
        <v>2227.3733106743057</v>
      </c>
      <c r="Z6">
        <f t="shared" si="0"/>
        <v>0.40277835634082415</v>
      </c>
    </row>
    <row r="7" spans="1:26" x14ac:dyDescent="0.25">
      <c r="A7" s="11">
        <v>45789</v>
      </c>
      <c r="B7" t="s">
        <v>40</v>
      </c>
      <c r="C7" s="2">
        <v>582.13299560546875</v>
      </c>
      <c r="D7" s="3">
        <v>8.99640143942423E-2</v>
      </c>
      <c r="E7" s="5">
        <v>59.762655916434163</v>
      </c>
      <c r="F7" s="5">
        <v>0.5976265591643416</v>
      </c>
      <c r="G7" s="5">
        <v>9.4870275146164627</v>
      </c>
      <c r="H7" s="6">
        <v>9.4870275146164626E-2</v>
      </c>
      <c r="I7" s="2">
        <v>0.12</v>
      </c>
      <c r="J7" s="3">
        <v>10907.268185880799</v>
      </c>
      <c r="K7" s="2">
        <v>1454302.4247841069</v>
      </c>
      <c r="L7" s="2">
        <v>9.6929314096859436</v>
      </c>
      <c r="M7">
        <v>1.264885126717705</v>
      </c>
      <c r="N7" t="s">
        <v>55</v>
      </c>
      <c r="O7">
        <v>1.478528339667561</v>
      </c>
      <c r="P7">
        <v>31.298313197296519</v>
      </c>
      <c r="Q7">
        <v>830.25793946224735</v>
      </c>
      <c r="R7">
        <v>110.43621584003159</v>
      </c>
      <c r="S7">
        <v>64288.565150289702</v>
      </c>
      <c r="T7">
        <v>4.4205774572529798E-2</v>
      </c>
      <c r="U7">
        <v>38420.55398438024</v>
      </c>
      <c r="W7" t="s">
        <v>81</v>
      </c>
      <c r="X7">
        <f t="shared" si="1"/>
        <v>856.56021318028513</v>
      </c>
      <c r="Y7">
        <f t="shared" si="2"/>
        <v>2155.8034252628636</v>
      </c>
      <c r="Z7">
        <f t="shared" si="0"/>
        <v>0.39732760563539887</v>
      </c>
    </row>
    <row r="8" spans="1:26" x14ac:dyDescent="0.25">
      <c r="A8" s="11">
        <v>45790</v>
      </c>
      <c r="B8" t="s">
        <v>40</v>
      </c>
      <c r="C8" s="2">
        <v>586.337158203125</v>
      </c>
      <c r="D8" s="3">
        <v>8.99640143942423E-2</v>
      </c>
      <c r="E8" s="5">
        <v>59.762655916434163</v>
      </c>
      <c r="F8" s="5">
        <v>0.5976265591643416</v>
      </c>
      <c r="G8" s="5">
        <v>9.4870275146164627</v>
      </c>
      <c r="H8" s="6">
        <v>9.4870275146164626E-2</v>
      </c>
      <c r="I8" s="2">
        <v>0.12</v>
      </c>
      <c r="J8" s="3">
        <v>10930.17073218676</v>
      </c>
      <c r="K8" s="2">
        <v>1457356.0976249019</v>
      </c>
      <c r="L8" s="2">
        <v>11.023563969403961</v>
      </c>
      <c r="M8">
        <v>1.264885126717705</v>
      </c>
      <c r="N8" t="s">
        <v>55</v>
      </c>
      <c r="O8">
        <v>1.478352342567206</v>
      </c>
      <c r="P8">
        <v>31.524349513236569</v>
      </c>
      <c r="Q8">
        <v>967.6582965859925</v>
      </c>
      <c r="R8">
        <v>128.69711299336649</v>
      </c>
      <c r="S8">
        <v>75459.899501476961</v>
      </c>
      <c r="T8">
        <v>5.1778628177736583E-2</v>
      </c>
      <c r="U8">
        <v>45096.840093954692</v>
      </c>
      <c r="W8" t="s">
        <v>81</v>
      </c>
      <c r="X8">
        <f t="shared" si="1"/>
        <v>877.80893663042207</v>
      </c>
      <c r="Y8">
        <f t="shared" si="2"/>
        <v>2140.3458544751538</v>
      </c>
      <c r="Z8">
        <f t="shared" si="0"/>
        <v>0.41012480987362415</v>
      </c>
    </row>
    <row r="9" spans="1:26" x14ac:dyDescent="0.25">
      <c r="A9" s="11">
        <v>45791</v>
      </c>
      <c r="B9" t="s">
        <v>40</v>
      </c>
      <c r="C9" s="2">
        <v>586.675048828125</v>
      </c>
      <c r="D9" s="3">
        <v>8.99640143942423E-2</v>
      </c>
      <c r="E9" s="5">
        <v>59.762655916434163</v>
      </c>
      <c r="F9" s="5">
        <v>0.5976265591643416</v>
      </c>
      <c r="G9" s="5">
        <v>9.4870275146164627</v>
      </c>
      <c r="H9" s="6">
        <v>9.4870275146164626E-2</v>
      </c>
      <c r="I9" s="2">
        <v>0.12</v>
      </c>
      <c r="J9" s="3">
        <v>10909.7595266807</v>
      </c>
      <c r="K9" s="2">
        <v>1454634.603557426</v>
      </c>
      <c r="L9" s="2">
        <v>11.812967326638139</v>
      </c>
      <c r="M9">
        <v>1.264885126717705</v>
      </c>
      <c r="N9" t="s">
        <v>55</v>
      </c>
      <c r="O9">
        <v>1.478179139071619</v>
      </c>
      <c r="P9">
        <v>31.542516163619752</v>
      </c>
      <c r="Q9">
        <v>1062.677617923362</v>
      </c>
      <c r="R9">
        <v>141.31798255667479</v>
      </c>
      <c r="S9">
        <v>82907.734316729329</v>
      </c>
      <c r="T9">
        <v>5.6995574087108723E-2</v>
      </c>
      <c r="U9">
        <v>49547.863987818353</v>
      </c>
      <c r="W9" t="s">
        <v>81</v>
      </c>
      <c r="X9">
        <f t="shared" si="1"/>
        <v>899.58567440293621</v>
      </c>
      <c r="Y9">
        <f t="shared" si="2"/>
        <v>2139.113140045029</v>
      </c>
      <c r="Z9">
        <f t="shared" si="0"/>
        <v>0.42054141857311933</v>
      </c>
    </row>
    <row r="10" spans="1:26" x14ac:dyDescent="0.25">
      <c r="A10" s="11">
        <v>45792</v>
      </c>
      <c r="B10" t="s">
        <v>40</v>
      </c>
      <c r="C10" s="2">
        <v>589.55731201171875</v>
      </c>
      <c r="D10" s="3">
        <v>8.99640143942423E-2</v>
      </c>
      <c r="E10" s="5">
        <v>59.762655916434163</v>
      </c>
      <c r="F10" s="5">
        <v>0.5976265591643416</v>
      </c>
      <c r="G10" s="5">
        <v>9.4870275146164627</v>
      </c>
      <c r="H10" s="6">
        <v>9.4870275146164626E-2</v>
      </c>
      <c r="I10" s="2">
        <v>0.12</v>
      </c>
      <c r="J10" s="3">
        <v>10944.67242415309</v>
      </c>
      <c r="K10" s="2">
        <v>1459289.656553746</v>
      </c>
      <c r="L10" s="2">
        <v>12.379871060192441</v>
      </c>
      <c r="M10">
        <v>1.264885126717705</v>
      </c>
      <c r="N10" t="s">
        <v>55</v>
      </c>
      <c r="O10">
        <v>1.4780086848378671</v>
      </c>
      <c r="P10">
        <v>31.697480710412581</v>
      </c>
      <c r="Q10">
        <v>1141.8595698696799</v>
      </c>
      <c r="R10">
        <v>151.83032034858991</v>
      </c>
      <c r="S10">
        <v>89512.6755465928</v>
      </c>
      <c r="T10">
        <v>6.1339895849043209E-2</v>
      </c>
      <c r="U10">
        <v>53495.152288504352</v>
      </c>
      <c r="W10" t="s">
        <v>81</v>
      </c>
      <c r="X10">
        <f t="shared" si="1"/>
        <v>922.35174689447058</v>
      </c>
      <c r="Y10">
        <f t="shared" si="2"/>
        <v>2128.6553152950396</v>
      </c>
      <c r="Z10">
        <f t="shared" si="0"/>
        <v>0.43330253623829612</v>
      </c>
    </row>
    <row r="11" spans="1:26" x14ac:dyDescent="0.25">
      <c r="A11" s="11">
        <v>45793</v>
      </c>
      <c r="B11" t="s">
        <v>40</v>
      </c>
      <c r="C11" s="2">
        <v>593.393798828125</v>
      </c>
      <c r="D11" s="3">
        <v>8.99640143942423E-2</v>
      </c>
      <c r="E11" s="5">
        <v>59.762655916434163</v>
      </c>
      <c r="F11" s="5">
        <v>0.5976265591643416</v>
      </c>
      <c r="G11" s="5">
        <v>9.4870275146164627</v>
      </c>
      <c r="H11" s="6">
        <v>9.4870275146164626E-2</v>
      </c>
      <c r="I11" s="2">
        <v>0.12</v>
      </c>
      <c r="J11" s="3">
        <v>10954.42991111835</v>
      </c>
      <c r="K11" s="2">
        <v>1460590.65481578</v>
      </c>
      <c r="L11" s="2">
        <v>12.90896410864752</v>
      </c>
      <c r="M11">
        <v>1.264885126717705</v>
      </c>
      <c r="N11" t="s">
        <v>55</v>
      </c>
      <c r="O11">
        <v>1.4778409362268721</v>
      </c>
      <c r="P11">
        <v>31.903748980487691</v>
      </c>
      <c r="Q11">
        <v>1219.841385226312</v>
      </c>
      <c r="R11">
        <v>162.18096571841761</v>
      </c>
      <c r="S11">
        <v>96237.179345265715</v>
      </c>
      <c r="T11">
        <v>6.5889220246588387E-2</v>
      </c>
      <c r="U11">
        <v>57513.894355792792</v>
      </c>
      <c r="W11" t="s">
        <v>81</v>
      </c>
      <c r="X11">
        <f t="shared" si="1"/>
        <v>944.95683384010545</v>
      </c>
      <c r="Y11">
        <f t="shared" si="2"/>
        <v>2114.8928559132082</v>
      </c>
      <c r="Z11">
        <f t="shared" si="0"/>
        <v>0.44681073615527167</v>
      </c>
    </row>
    <row r="12" spans="1:26" x14ac:dyDescent="0.25">
      <c r="A12" s="11">
        <v>45796</v>
      </c>
      <c r="B12" t="s">
        <v>40</v>
      </c>
      <c r="C12" s="2">
        <v>594.13916015625</v>
      </c>
      <c r="D12" s="3">
        <v>8.99640143942423E-2</v>
      </c>
      <c r="E12" s="5">
        <v>59.762655916434163</v>
      </c>
      <c r="F12" s="5">
        <v>0.5976265591643416</v>
      </c>
      <c r="G12" s="5">
        <v>9.4870275146164627</v>
      </c>
      <c r="H12" s="6">
        <v>9.4870275146164626E-2</v>
      </c>
      <c r="I12" s="2">
        <v>0.12</v>
      </c>
      <c r="J12" s="3">
        <v>10984.65989971258</v>
      </c>
      <c r="K12" s="2">
        <v>1464621.3199616771</v>
      </c>
      <c r="L12" s="2">
        <v>13.36629107149459</v>
      </c>
      <c r="M12">
        <v>1.264885126717705</v>
      </c>
      <c r="N12" t="s">
        <v>55</v>
      </c>
      <c r="O12">
        <v>1.4776758502922429</v>
      </c>
      <c r="P12">
        <v>31.94382324610898</v>
      </c>
      <c r="Q12">
        <v>1293.955557587087</v>
      </c>
      <c r="R12">
        <v>172.01541289899089</v>
      </c>
      <c r="S12">
        <v>102201.092953737</v>
      </c>
      <c r="T12">
        <v>6.9779875221542706E-2</v>
      </c>
      <c r="U12">
        <v>61078.087524776893</v>
      </c>
      <c r="W12" t="s">
        <v>81</v>
      </c>
      <c r="X12">
        <f t="shared" si="1"/>
        <v>968.07375409220356</v>
      </c>
      <c r="Y12">
        <f t="shared" si="2"/>
        <v>2112.2396738749958</v>
      </c>
      <c r="Z12">
        <f t="shared" si="0"/>
        <v>0.45831624415814048</v>
      </c>
    </row>
    <row r="13" spans="1:26" x14ac:dyDescent="0.25">
      <c r="A13" s="11">
        <v>45797</v>
      </c>
      <c r="B13" t="s">
        <v>40</v>
      </c>
      <c r="C13" s="2">
        <v>591.93280029296875</v>
      </c>
      <c r="D13" s="3">
        <v>8.99640143942423E-2</v>
      </c>
      <c r="E13" s="5">
        <v>59.762655916434163</v>
      </c>
      <c r="F13" s="5">
        <v>0.5976265591643416</v>
      </c>
      <c r="G13" s="5">
        <v>9.4870275146164627</v>
      </c>
      <c r="H13" s="6">
        <v>9.4870275146164626E-2</v>
      </c>
      <c r="I13" s="2">
        <v>0.12</v>
      </c>
      <c r="J13" s="3">
        <v>10997.576175166731</v>
      </c>
      <c r="K13" s="2">
        <v>1466343.4900222309</v>
      </c>
      <c r="L13" s="2">
        <v>13.19114003287824</v>
      </c>
      <c r="M13">
        <v>1.264885126717705</v>
      </c>
      <c r="N13" t="s">
        <v>55</v>
      </c>
      <c r="O13">
        <v>1.4775133847692741</v>
      </c>
      <c r="P13">
        <v>31.825198563178748</v>
      </c>
      <c r="Q13">
        <v>1301.6717033221089</v>
      </c>
      <c r="R13">
        <v>173.02215389211</v>
      </c>
      <c r="S13">
        <v>102417.4880660777</v>
      </c>
      <c r="T13">
        <v>6.984549579479836E-2</v>
      </c>
      <c r="U13">
        <v>61207.410991185017</v>
      </c>
      <c r="W13" t="s">
        <v>81</v>
      </c>
      <c r="X13">
        <f t="shared" si="1"/>
        <v>986.77726115995961</v>
      </c>
      <c r="Y13">
        <f t="shared" si="2"/>
        <v>2120.1127987225482</v>
      </c>
      <c r="Z13">
        <f t="shared" si="0"/>
        <v>0.46543620780674122</v>
      </c>
    </row>
    <row r="14" spans="1:26" x14ac:dyDescent="0.25">
      <c r="A14" s="11">
        <v>45798</v>
      </c>
      <c r="B14" t="s">
        <v>40</v>
      </c>
      <c r="C14" s="2">
        <v>582.09320068359375</v>
      </c>
      <c r="D14" s="3">
        <v>8.99640143942423E-2</v>
      </c>
      <c r="E14" s="5">
        <v>59.762655916434163</v>
      </c>
      <c r="F14" s="5">
        <v>0.5976265591643416</v>
      </c>
      <c r="G14" s="5">
        <v>9.4870275146164627</v>
      </c>
      <c r="H14" s="6">
        <v>9.4870275146164626E-2</v>
      </c>
      <c r="I14" s="2">
        <v>0.12</v>
      </c>
      <c r="J14" s="3">
        <v>10937.776258645001</v>
      </c>
      <c r="K14" s="2">
        <v>1458370.167819333</v>
      </c>
      <c r="L14" s="2">
        <v>9.9887260489530245</v>
      </c>
      <c r="M14">
        <v>1.264885126717705</v>
      </c>
      <c r="N14" t="s">
        <v>55</v>
      </c>
      <c r="O14">
        <v>1.4773534980641301</v>
      </c>
      <c r="P14">
        <v>31.296173627923359</v>
      </c>
      <c r="Q14">
        <v>970.70768523998936</v>
      </c>
      <c r="R14">
        <v>129.0154492950241</v>
      </c>
      <c r="S14">
        <v>75099.015817772495</v>
      </c>
      <c r="T14">
        <v>5.1495167327830292E-2</v>
      </c>
      <c r="U14">
        <v>44881.166419803842</v>
      </c>
      <c r="W14" t="s">
        <v>81</v>
      </c>
      <c r="X14">
        <f t="shared" si="1"/>
        <v>971.8032915135708</v>
      </c>
      <c r="Y14">
        <f t="shared" si="2"/>
        <v>2155.9508072092349</v>
      </c>
      <c r="Z14">
        <f t="shared" si="0"/>
        <v>0.45075392641797757</v>
      </c>
    </row>
    <row r="15" spans="1:26" x14ac:dyDescent="0.25">
      <c r="A15" s="11">
        <v>45799</v>
      </c>
      <c r="B15" t="s">
        <v>40</v>
      </c>
      <c r="C15" s="2">
        <v>582.18267822265625</v>
      </c>
      <c r="D15" s="3">
        <v>8.99640143942423E-2</v>
      </c>
      <c r="E15" s="5">
        <v>59.762655916434163</v>
      </c>
      <c r="F15" s="5">
        <v>0.5976265591643416</v>
      </c>
      <c r="G15" s="5">
        <v>9.4870275146164627</v>
      </c>
      <c r="H15" s="6">
        <v>9.4870275146164626E-2</v>
      </c>
      <c r="I15" s="2">
        <v>0.12</v>
      </c>
      <c r="J15" s="3">
        <v>10939.470013090049</v>
      </c>
      <c r="K15" s="2">
        <v>1458596.0017453399</v>
      </c>
      <c r="L15" s="2">
        <v>8.7525612556892405</v>
      </c>
      <c r="M15">
        <v>1.264885126717705</v>
      </c>
      <c r="N15" t="s">
        <v>55</v>
      </c>
      <c r="O15">
        <v>1.4771961492431951</v>
      </c>
      <c r="P15">
        <v>31.30098437746485</v>
      </c>
      <c r="Q15">
        <v>871.32141518628464</v>
      </c>
      <c r="R15">
        <v>115.793819988227</v>
      </c>
      <c r="S15">
        <v>67413.156242378129</v>
      </c>
      <c r="T15">
        <v>4.6217839731983547E-2</v>
      </c>
      <c r="U15">
        <v>40287.892607540598</v>
      </c>
      <c r="W15" t="s">
        <v>81</v>
      </c>
      <c r="X15">
        <f t="shared" si="1"/>
        <v>995.5045040329403</v>
      </c>
      <c r="Y15">
        <f t="shared" si="2"/>
        <v>2155.6194521555981</v>
      </c>
      <c r="Z15">
        <f t="shared" si="0"/>
        <v>0.4618182968415161</v>
      </c>
    </row>
    <row r="16" spans="1:26" x14ac:dyDescent="0.25">
      <c r="A16" s="11">
        <v>45800</v>
      </c>
      <c r="B16" t="s">
        <v>40</v>
      </c>
      <c r="C16" s="2">
        <v>578.4456787109375</v>
      </c>
      <c r="D16" s="3">
        <v>8.99640143942423E-2</v>
      </c>
      <c r="E16" s="5">
        <v>59.762655916434163</v>
      </c>
      <c r="F16" s="5">
        <v>0.5976265591643416</v>
      </c>
      <c r="G16" s="5">
        <v>9.4870275146164627</v>
      </c>
      <c r="H16" s="6">
        <v>9.4870275146164626E-2</v>
      </c>
      <c r="I16" s="2">
        <v>0.12</v>
      </c>
      <c r="J16" s="3">
        <v>10986.6597694026</v>
      </c>
      <c r="K16" s="2">
        <v>1464887.96925368</v>
      </c>
      <c r="L16" s="2">
        <v>3.6129322521610772</v>
      </c>
      <c r="M16">
        <v>1.264885126717705</v>
      </c>
      <c r="N16" t="s">
        <v>55</v>
      </c>
      <c r="O16">
        <v>1.477041298022592</v>
      </c>
      <c r="P16">
        <v>31.100065030822648</v>
      </c>
      <c r="Q16">
        <v>365.84259641475131</v>
      </c>
      <c r="R16">
        <v>48.613370757601047</v>
      </c>
      <c r="S16">
        <v>28120.194242306981</v>
      </c>
      <c r="T16">
        <v>1.9196139795341099E-2</v>
      </c>
      <c r="U16">
        <v>16805.374928062851</v>
      </c>
      <c r="W16" t="s">
        <v>81</v>
      </c>
      <c r="X16">
        <f t="shared" si="1"/>
        <v>1012.5919084032711</v>
      </c>
      <c r="Y16">
        <f t="shared" si="2"/>
        <v>2169.5456497859595</v>
      </c>
      <c r="Z16">
        <f t="shared" si="0"/>
        <v>0.46672993882528824</v>
      </c>
    </row>
    <row r="17" spans="1:26" x14ac:dyDescent="0.25">
      <c r="A17" s="11">
        <v>45803</v>
      </c>
      <c r="B17" t="s">
        <v>40</v>
      </c>
      <c r="D17" s="3">
        <v>8.99640143942423E-2</v>
      </c>
      <c r="E17" s="5">
        <v>59.762655916434163</v>
      </c>
      <c r="F17" s="5">
        <v>0.5976265591643416</v>
      </c>
      <c r="G17" s="5">
        <v>9.4870275146164627</v>
      </c>
      <c r="H17" s="6">
        <v>9.4870275146164626E-2</v>
      </c>
      <c r="I17" s="2">
        <v>0.12</v>
      </c>
      <c r="J17" s="3">
        <v>10986.49742202456</v>
      </c>
      <c r="K17" s="2">
        <v>1464866.322936608</v>
      </c>
      <c r="L17" s="2">
        <v>3.6134904046965799</v>
      </c>
      <c r="M17">
        <v>1.264885126717705</v>
      </c>
      <c r="N17" t="s">
        <v>55</v>
      </c>
      <c r="O17">
        <v>1.4768889047578719</v>
      </c>
      <c r="Q17">
        <v>365.83236014707438</v>
      </c>
      <c r="R17">
        <v>48.606995028008257</v>
      </c>
      <c r="W17" t="s">
        <v>81</v>
      </c>
      <c r="X17">
        <f t="shared" si="1"/>
        <v>1012.4071719454112</v>
      </c>
      <c r="Y17" t="e">
        <f t="shared" si="2"/>
        <v>#DIV/0!</v>
      </c>
      <c r="Z17" t="e">
        <f t="shared" si="0"/>
        <v>#DIV/0!</v>
      </c>
    </row>
    <row r="18" spans="1:26" x14ac:dyDescent="0.25">
      <c r="A18" s="11">
        <v>45804</v>
      </c>
      <c r="B18" t="s">
        <v>40</v>
      </c>
      <c r="C18" s="2">
        <v>590.312744140625</v>
      </c>
      <c r="D18" s="3">
        <v>8.99640143942423E-2</v>
      </c>
      <c r="E18" s="5">
        <v>59.762655916434163</v>
      </c>
      <c r="F18" s="5">
        <v>0.5976265591643416</v>
      </c>
      <c r="G18" s="5">
        <v>9.4870275146164627</v>
      </c>
      <c r="H18" s="6">
        <v>9.4870275146164626E-2</v>
      </c>
      <c r="I18" s="2">
        <v>0.12</v>
      </c>
      <c r="J18" s="3">
        <v>11016.966187516329</v>
      </c>
      <c r="K18" s="2">
        <v>1468928.8250021769</v>
      </c>
      <c r="L18" s="2">
        <v>9.1407765427535637</v>
      </c>
      <c r="M18">
        <v>1.264885126717705</v>
      </c>
      <c r="N18" t="s">
        <v>55</v>
      </c>
      <c r="O18">
        <v>1.476738930433861</v>
      </c>
      <c r="P18">
        <v>31.738096431473402</v>
      </c>
      <c r="Q18">
        <v>925.25017865640507</v>
      </c>
      <c r="R18">
        <v>122.9225972722877</v>
      </c>
      <c r="S18">
        <v>72562.775712697039</v>
      </c>
      <c r="T18">
        <v>4.939842862201952E-2</v>
      </c>
      <c r="U18">
        <v>43365.441972592977</v>
      </c>
      <c r="W18" t="s">
        <v>81</v>
      </c>
      <c r="X18">
        <f t="shared" si="1"/>
        <v>1012.2227300151056</v>
      </c>
      <c r="Y18">
        <f t="shared" si="2"/>
        <v>2125.9312429579563</v>
      </c>
      <c r="Z18">
        <f t="shared" si="0"/>
        <v>0.4761314522132567</v>
      </c>
    </row>
    <row r="19" spans="1:26" x14ac:dyDescent="0.25">
      <c r="A19" s="11">
        <v>45805</v>
      </c>
      <c r="B19" t="s">
        <v>40</v>
      </c>
      <c r="C19" s="2">
        <v>586.8341064453125</v>
      </c>
      <c r="D19" s="3">
        <v>8.99640143942423E-2</v>
      </c>
      <c r="E19" s="5">
        <v>59.762655916434163</v>
      </c>
      <c r="F19" s="5">
        <v>0.5976265591643416</v>
      </c>
      <c r="G19" s="5">
        <v>9.4870275146164627</v>
      </c>
      <c r="H19" s="6">
        <v>9.4870275146164626E-2</v>
      </c>
      <c r="I19" s="2">
        <v>0.12</v>
      </c>
      <c r="J19" s="3">
        <v>10973.89551606886</v>
      </c>
      <c r="K19" s="2">
        <v>1463186.0688091819</v>
      </c>
      <c r="L19" s="2">
        <v>8.0488167112901952</v>
      </c>
      <c r="M19">
        <v>1.264885126717705</v>
      </c>
      <c r="N19" t="s">
        <v>55</v>
      </c>
      <c r="O19">
        <v>1.4765913366546759</v>
      </c>
      <c r="P19">
        <v>31.55106787801617</v>
      </c>
      <c r="Q19">
        <v>831.31922742262725</v>
      </c>
      <c r="R19">
        <v>110.4325162062466</v>
      </c>
      <c r="S19">
        <v>64805.566970400199</v>
      </c>
      <c r="T19">
        <v>4.4290721700994858E-2</v>
      </c>
      <c r="U19">
        <v>38729.528003214567</v>
      </c>
      <c r="W19" t="s">
        <v>81</v>
      </c>
      <c r="X19">
        <f t="shared" si="1"/>
        <v>1032.8465130241111</v>
      </c>
      <c r="Y19">
        <f t="shared" si="2"/>
        <v>2138.5333471611234</v>
      </c>
      <c r="Z19">
        <f t="shared" si="0"/>
        <v>0.48296956154328952</v>
      </c>
    </row>
    <row r="20" spans="1:26" x14ac:dyDescent="0.25">
      <c r="A20" s="11">
        <v>45806</v>
      </c>
      <c r="B20" t="s">
        <v>40</v>
      </c>
      <c r="C20" s="2">
        <v>589.15985107421875</v>
      </c>
      <c r="D20" s="3">
        <v>8.99640143942423E-2</v>
      </c>
      <c r="E20" s="5">
        <v>59.762655916434163</v>
      </c>
      <c r="F20" s="5">
        <v>0.5976265591643416</v>
      </c>
      <c r="G20" s="5">
        <v>9.4870275146164627</v>
      </c>
      <c r="H20" s="6">
        <v>9.4870275146164626E-2</v>
      </c>
      <c r="I20" s="2">
        <v>0.12</v>
      </c>
      <c r="J20" s="3">
        <v>11030.93484179286</v>
      </c>
      <c r="K20" s="2">
        <v>1470791.312239049</v>
      </c>
      <c r="L20" s="2">
        <v>9.0594748988226534</v>
      </c>
      <c r="M20">
        <v>1.264885126717705</v>
      </c>
      <c r="N20" t="s">
        <v>55</v>
      </c>
      <c r="O20">
        <v>1.476446085633891</v>
      </c>
      <c r="P20">
        <v>31.676111269065888</v>
      </c>
      <c r="Q20">
        <v>959.80397976143797</v>
      </c>
      <c r="R20">
        <v>127.4878994227098</v>
      </c>
      <c r="S20">
        <v>75110.751837648655</v>
      </c>
      <c r="T20">
        <v>5.1068259115091143E-2</v>
      </c>
      <c r="U20">
        <v>44888.180176980713</v>
      </c>
      <c r="W20" t="s">
        <v>81</v>
      </c>
      <c r="X20">
        <f t="shared" si="1"/>
        <v>1059.4476947953922</v>
      </c>
      <c r="Y20">
        <f t="shared" si="2"/>
        <v>2130.0913556764212</v>
      </c>
      <c r="Z20">
        <f t="shared" si="0"/>
        <v>0.49737195166399761</v>
      </c>
    </row>
    <row r="21" spans="1:26" x14ac:dyDescent="0.25">
      <c r="A21" s="11">
        <v>45807</v>
      </c>
      <c r="B21" t="s">
        <v>40</v>
      </c>
      <c r="C21" s="2">
        <v>588.53369140625</v>
      </c>
      <c r="D21" s="3">
        <v>8.99640143942423E-2</v>
      </c>
      <c r="E21" s="5">
        <v>59.762655916434163</v>
      </c>
      <c r="F21" s="5">
        <v>0.5976265591643416</v>
      </c>
      <c r="G21" s="5">
        <v>9.4870275146164627</v>
      </c>
      <c r="H21" s="6">
        <v>9.4870275146164626E-2</v>
      </c>
      <c r="I21" s="2">
        <v>0.12</v>
      </c>
      <c r="J21" s="3">
        <v>11027.88897722302</v>
      </c>
      <c r="K21" s="2">
        <v>1470385.196963069</v>
      </c>
      <c r="L21" s="2">
        <v>9.1113749481816697</v>
      </c>
      <c r="M21">
        <v>1.264885126717705</v>
      </c>
      <c r="N21" t="s">
        <v>55</v>
      </c>
      <c r="O21">
        <v>1.476303140184865</v>
      </c>
      <c r="P21">
        <v>31.64244586691974</v>
      </c>
      <c r="Q21">
        <v>990.23223973130212</v>
      </c>
      <c r="R21">
        <v>131.51686009013881</v>
      </c>
      <c r="S21">
        <v>77402.103151008705</v>
      </c>
      <c r="T21">
        <v>5.2640698036728641E-2</v>
      </c>
      <c r="U21">
        <v>46257.552578220777</v>
      </c>
      <c r="W21" t="s">
        <v>81</v>
      </c>
      <c r="X21">
        <f t="shared" si="1"/>
        <v>1086.8087916071545</v>
      </c>
      <c r="Y21">
        <f t="shared" si="2"/>
        <v>2132.3576274557422</v>
      </c>
      <c r="Z21">
        <f t="shared" si="0"/>
        <v>0.5096747269846561</v>
      </c>
    </row>
    <row r="22" spans="1:26" x14ac:dyDescent="0.25">
      <c r="A22" s="11">
        <v>45810</v>
      </c>
      <c r="B22" t="s">
        <v>40</v>
      </c>
      <c r="C22" s="2">
        <v>591.95263671875</v>
      </c>
      <c r="D22" s="3">
        <v>8.99640143942423E-2</v>
      </c>
      <c r="E22" s="5">
        <v>59.762655916434163</v>
      </c>
      <c r="F22" s="5">
        <v>0.5976265591643416</v>
      </c>
      <c r="G22" s="5">
        <v>9.4870275146164627</v>
      </c>
      <c r="H22" s="6">
        <v>9.4870275146164626E-2</v>
      </c>
      <c r="I22" s="2">
        <v>0.12</v>
      </c>
      <c r="J22" s="3">
        <v>11110.81856797396</v>
      </c>
      <c r="K22" s="2">
        <v>1481442.4757298611</v>
      </c>
      <c r="L22" s="2">
        <v>11.97779432076355</v>
      </c>
      <c r="M22">
        <v>1.264885126717705</v>
      </c>
      <c r="N22" t="s">
        <v>55</v>
      </c>
      <c r="O22">
        <v>1.476162463711219</v>
      </c>
      <c r="P22">
        <v>31.82626506631722</v>
      </c>
      <c r="Q22">
        <v>1331.678363444234</v>
      </c>
      <c r="R22">
        <v>176.8488856682508</v>
      </c>
      <c r="S22">
        <v>104686.16417209381</v>
      </c>
      <c r="T22">
        <v>7.0665021347196211E-2</v>
      </c>
      <c r="U22">
        <v>62563.232086281823</v>
      </c>
      <c r="W22" t="s">
        <v>81</v>
      </c>
      <c r="X22">
        <f t="shared" si="1"/>
        <v>1111.7893059290263</v>
      </c>
      <c r="Y22">
        <f t="shared" si="2"/>
        <v>2120.0417534098474</v>
      </c>
      <c r="Z22">
        <f t="shared" si="0"/>
        <v>0.52441858946449471</v>
      </c>
    </row>
    <row r="23" spans="1:26" x14ac:dyDescent="0.25">
      <c r="A23" s="11">
        <v>45811</v>
      </c>
      <c r="B23" t="s">
        <v>40</v>
      </c>
      <c r="C23" s="2">
        <v>595.272216796875</v>
      </c>
      <c r="D23" s="3">
        <v>8.99640143942423E-2</v>
      </c>
      <c r="E23" s="5">
        <v>59.762655916434163</v>
      </c>
      <c r="F23" s="5">
        <v>0.5976265591643416</v>
      </c>
      <c r="G23" s="5">
        <v>9.4870275146164627</v>
      </c>
      <c r="H23" s="6">
        <v>9.4870275146164626E-2</v>
      </c>
      <c r="I23" s="2">
        <v>0.12</v>
      </c>
      <c r="J23" s="3">
        <v>11079.344002649859</v>
      </c>
      <c r="K23" s="2">
        <v>1477245.8670199821</v>
      </c>
      <c r="L23" s="2">
        <v>13.33070738576798</v>
      </c>
      <c r="M23">
        <v>1.264885126717705</v>
      </c>
      <c r="N23" t="s">
        <v>55</v>
      </c>
      <c r="O23">
        <v>1.476024020197473</v>
      </c>
      <c r="P23">
        <v>32.004741905378033</v>
      </c>
      <c r="Q23">
        <v>1516.4178969259769</v>
      </c>
      <c r="R23">
        <v>201.36368614519719</v>
      </c>
      <c r="S23">
        <v>119866.20783404171</v>
      </c>
      <c r="T23">
        <v>8.1141677570467946E-2</v>
      </c>
      <c r="U23">
        <v>71635.229347936198</v>
      </c>
      <c r="W23" t="s">
        <v>81</v>
      </c>
      <c r="X23">
        <f t="shared" si="1"/>
        <v>1137.5374562230079</v>
      </c>
      <c r="Y23">
        <f t="shared" si="2"/>
        <v>2108.2191818689116</v>
      </c>
      <c r="Z23">
        <f t="shared" si="0"/>
        <v>0.53957267157326316</v>
      </c>
    </row>
    <row r="24" spans="1:26" x14ac:dyDescent="0.25">
      <c r="A24" s="11">
        <v>45812</v>
      </c>
      <c r="B24" t="s">
        <v>40</v>
      </c>
      <c r="C24" s="2">
        <v>595.11322021484375</v>
      </c>
      <c r="D24" s="3">
        <v>8.99640143942423E-2</v>
      </c>
      <c r="E24" s="5">
        <v>59.762655916434163</v>
      </c>
      <c r="F24" s="5">
        <v>0.5976265591643416</v>
      </c>
      <c r="G24" s="5">
        <v>9.4870275146164627</v>
      </c>
      <c r="H24" s="6">
        <v>9.4870275146164626E-2</v>
      </c>
      <c r="I24" s="2">
        <v>0.12</v>
      </c>
      <c r="J24" s="3">
        <v>11143.06136194497</v>
      </c>
      <c r="K24" s="2">
        <v>1485741.514925997</v>
      </c>
      <c r="L24" s="2">
        <v>13.87540151578003</v>
      </c>
      <c r="M24">
        <v>1.264885126717705</v>
      </c>
      <c r="N24" t="s">
        <v>55</v>
      </c>
      <c r="O24">
        <v>1.475887774199818</v>
      </c>
      <c r="P24">
        <v>31.996193472529718</v>
      </c>
      <c r="Q24">
        <v>1617.891339427965</v>
      </c>
      <c r="R24">
        <v>214.8184169108246</v>
      </c>
      <c r="S24">
        <v>127841.2798492557</v>
      </c>
      <c r="T24">
        <v>8.6045438297941979E-2</v>
      </c>
      <c r="U24">
        <v>76401.344195476355</v>
      </c>
      <c r="W24" t="s">
        <v>81</v>
      </c>
      <c r="X24">
        <f t="shared" si="1"/>
        <v>1166.0140699986168</v>
      </c>
      <c r="Y24">
        <f t="shared" si="2"/>
        <v>2108.7824354359705</v>
      </c>
      <c r="Z24">
        <f t="shared" si="0"/>
        <v>0.55293237007522522</v>
      </c>
    </row>
    <row r="25" spans="1:26" x14ac:dyDescent="0.25">
      <c r="A25" s="11">
        <v>45813</v>
      </c>
      <c r="B25" t="s">
        <v>40</v>
      </c>
      <c r="C25" s="2">
        <v>592.34027099609375</v>
      </c>
      <c r="D25" s="3">
        <v>8.99640143942423E-2</v>
      </c>
      <c r="E25" s="5">
        <v>59.762655916434163</v>
      </c>
      <c r="F25" s="5">
        <v>0.5976265591643416</v>
      </c>
      <c r="G25" s="5">
        <v>9.4870275146164627</v>
      </c>
      <c r="H25" s="6">
        <v>9.4870275146164626E-2</v>
      </c>
      <c r="I25" s="2">
        <v>0.12</v>
      </c>
      <c r="J25" s="3">
        <v>11123.61331058105</v>
      </c>
      <c r="K25" s="2">
        <v>1483148.441410806</v>
      </c>
      <c r="L25" s="2">
        <v>12.724858475748009</v>
      </c>
      <c r="M25">
        <v>1.264885126717705</v>
      </c>
      <c r="N25" t="s">
        <v>55</v>
      </c>
      <c r="O25">
        <v>1.475753690837047</v>
      </c>
      <c r="P25">
        <v>31.847106178416858</v>
      </c>
      <c r="Q25">
        <v>1511.8875315134501</v>
      </c>
      <c r="R25">
        <v>200.72533426861301</v>
      </c>
      <c r="S25">
        <v>118897.69889645169</v>
      </c>
      <c r="T25">
        <v>8.0165744423635277E-2</v>
      </c>
      <c r="U25">
        <v>71056.422684044373</v>
      </c>
      <c r="W25" t="s">
        <v>81</v>
      </c>
      <c r="X25">
        <f t="shared" si="1"/>
        <v>1188.137011028389</v>
      </c>
      <c r="Y25">
        <f t="shared" si="2"/>
        <v>2118.6543737342436</v>
      </c>
      <c r="Z25">
        <f t="shared" si="0"/>
        <v>0.56079794125845683</v>
      </c>
    </row>
    <row r="26" spans="1:26" x14ac:dyDescent="0.25">
      <c r="A26" s="11">
        <v>45814</v>
      </c>
      <c r="B26" t="s">
        <v>40</v>
      </c>
      <c r="C26" s="2">
        <v>598.323486328125</v>
      </c>
      <c r="D26" s="3">
        <v>8.99640143942423E-2</v>
      </c>
      <c r="E26" s="5">
        <v>59.762655916434163</v>
      </c>
      <c r="F26" s="5">
        <v>0.5976265591643416</v>
      </c>
      <c r="G26" s="5">
        <v>9.4870275146164627</v>
      </c>
      <c r="H26" s="6">
        <v>9.4870275146164626E-2</v>
      </c>
      <c r="I26" s="2">
        <v>0.12</v>
      </c>
      <c r="J26" s="3">
        <v>11099.776947812121</v>
      </c>
      <c r="K26" s="2">
        <v>1479970.2597082821</v>
      </c>
      <c r="L26" s="2">
        <v>14.00841945812958</v>
      </c>
      <c r="M26">
        <v>1.264885126717705</v>
      </c>
      <c r="N26" t="s">
        <v>55</v>
      </c>
      <c r="O26">
        <v>1.475621735781621</v>
      </c>
      <c r="P26">
        <v>32.168793058910573</v>
      </c>
      <c r="Q26">
        <v>1683.3045693333891</v>
      </c>
      <c r="R26">
        <v>223.4634875166721</v>
      </c>
      <c r="S26">
        <v>133703.4529180167</v>
      </c>
      <c r="T26">
        <v>9.0341986293948254E-2</v>
      </c>
      <c r="U26">
        <v>79904.734515785851</v>
      </c>
      <c r="W26" t="s">
        <v>81</v>
      </c>
      <c r="X26">
        <f t="shared" si="1"/>
        <v>1201.63775389843</v>
      </c>
      <c r="Y26">
        <f t="shared" si="2"/>
        <v>2097.4678991567607</v>
      </c>
      <c r="Z26">
        <f t="shared" si="0"/>
        <v>0.57289923453966618</v>
      </c>
    </row>
    <row r="27" spans="1:26" x14ac:dyDescent="0.25">
      <c r="A27" s="11">
        <v>45817</v>
      </c>
      <c r="B27" t="s">
        <v>40</v>
      </c>
      <c r="C27" s="2">
        <v>598.89007568359375</v>
      </c>
      <c r="D27" s="3">
        <v>8.99640143942423E-2</v>
      </c>
      <c r="E27" s="5">
        <v>59.762655916434163</v>
      </c>
      <c r="F27" s="5">
        <v>0.5976265591643416</v>
      </c>
      <c r="G27" s="5">
        <v>9.4870275146164627</v>
      </c>
      <c r="H27" s="6">
        <v>9.4870275146164626E-2</v>
      </c>
      <c r="I27" s="2">
        <v>0.12</v>
      </c>
      <c r="J27" s="3">
        <v>11137.367967646909</v>
      </c>
      <c r="K27" s="2">
        <v>1484982.3956862551</v>
      </c>
      <c r="L27" s="2">
        <v>14.64607385540668</v>
      </c>
      <c r="M27">
        <v>1.264885126717705</v>
      </c>
      <c r="N27" t="s">
        <v>55</v>
      </c>
      <c r="O27">
        <v>1.4754918752508841</v>
      </c>
      <c r="P27">
        <v>32.199255670093208</v>
      </c>
      <c r="Q27">
        <v>1803.476369232865</v>
      </c>
      <c r="R27">
        <v>239.39556744364879</v>
      </c>
      <c r="S27">
        <v>143371.6295046437</v>
      </c>
      <c r="T27">
        <v>9.6547696404432684E-2</v>
      </c>
      <c r="U27">
        <v>85682.693622645005</v>
      </c>
      <c r="W27" t="s">
        <v>81</v>
      </c>
      <c r="X27">
        <f t="shared" si="1"/>
        <v>1231.3718932716574</v>
      </c>
      <c r="Y27">
        <f t="shared" si="2"/>
        <v>2095.483556731745</v>
      </c>
      <c r="Z27">
        <f t="shared" si="0"/>
        <v>0.58763137955240585</v>
      </c>
    </row>
    <row r="28" spans="1:26" x14ac:dyDescent="0.25">
      <c r="A28" s="11">
        <v>45818</v>
      </c>
      <c r="B28" t="s">
        <v>40</v>
      </c>
      <c r="C28" s="2">
        <v>602.32891845703125</v>
      </c>
      <c r="D28" s="3">
        <v>8.99640143942423E-2</v>
      </c>
      <c r="E28" s="5">
        <v>59.762655916434163</v>
      </c>
      <c r="F28" s="5">
        <v>0.5976265591643416</v>
      </c>
      <c r="G28" s="5">
        <v>9.4870275146164627</v>
      </c>
      <c r="H28" s="6">
        <v>9.4870275146164626E-2</v>
      </c>
      <c r="I28" s="2">
        <v>0.12</v>
      </c>
      <c r="J28" s="3">
        <v>11179.037168585241</v>
      </c>
      <c r="K28" s="2">
        <v>1490538.289144699</v>
      </c>
      <c r="L28" s="2">
        <v>15.200595512663661</v>
      </c>
      <c r="M28">
        <v>1.264885126717705</v>
      </c>
      <c r="N28" t="s">
        <v>55</v>
      </c>
      <c r="O28">
        <v>1.475364075998413</v>
      </c>
      <c r="P28">
        <v>32.38414465417727</v>
      </c>
      <c r="Q28">
        <v>1911.6626648826521</v>
      </c>
      <c r="R28">
        <v>253.73436413033821</v>
      </c>
      <c r="S28">
        <v>152831.54512200909</v>
      </c>
      <c r="T28">
        <v>0.1025344643844789</v>
      </c>
      <c r="U28">
        <v>91336.190443036146</v>
      </c>
      <c r="W28" t="s">
        <v>81</v>
      </c>
      <c r="X28">
        <f t="shared" si="1"/>
        <v>1257.6235340845958</v>
      </c>
      <c r="Y28">
        <f t="shared" si="2"/>
        <v>2083.5199297745944</v>
      </c>
      <c r="Z28">
        <f t="shared" si="0"/>
        <v>0.60360523367811114</v>
      </c>
    </row>
    <row r="29" spans="1:26" x14ac:dyDescent="0.25">
      <c r="A29" s="11">
        <v>45819</v>
      </c>
      <c r="B29" t="s">
        <v>40</v>
      </c>
      <c r="C29" s="2">
        <v>600.619384765625</v>
      </c>
      <c r="D29" s="3">
        <v>8.99640143942423E-2</v>
      </c>
      <c r="E29" s="5">
        <v>59.762655916434163</v>
      </c>
      <c r="F29" s="5">
        <v>0.5976265591643416</v>
      </c>
      <c r="G29" s="5">
        <v>9.4870275146164627</v>
      </c>
      <c r="H29" s="6">
        <v>9.4870275146164626E-2</v>
      </c>
      <c r="I29" s="2">
        <v>0.12</v>
      </c>
      <c r="J29" s="3">
        <v>11203.09551214925</v>
      </c>
      <c r="K29" s="2">
        <v>1493746.0682865661</v>
      </c>
      <c r="L29" s="2">
        <v>14.474282924812041</v>
      </c>
      <c r="M29">
        <v>1.264885126717705</v>
      </c>
      <c r="N29" t="s">
        <v>55</v>
      </c>
      <c r="O29">
        <v>1.4752383053055049</v>
      </c>
      <c r="P29">
        <v>32.292231772930407</v>
      </c>
      <c r="Q29">
        <v>1856.588901927114</v>
      </c>
      <c r="R29">
        <v>246.40343447554301</v>
      </c>
      <c r="S29">
        <v>147994.67921883761</v>
      </c>
      <c r="T29">
        <v>9.9076196658109461E-2</v>
      </c>
      <c r="U29">
        <v>88445.550916184424</v>
      </c>
      <c r="W29" t="s">
        <v>81</v>
      </c>
      <c r="X29">
        <f t="shared" si="1"/>
        <v>1282.6810914028222</v>
      </c>
      <c r="Y29">
        <f t="shared" si="2"/>
        <v>2089.4502204162391</v>
      </c>
      <c r="Z29">
        <f t="shared" si="0"/>
        <v>0.61388449404997047</v>
      </c>
    </row>
    <row r="30" spans="1:26" x14ac:dyDescent="0.25">
      <c r="A30" s="11">
        <v>45820</v>
      </c>
      <c r="B30" t="s">
        <v>40</v>
      </c>
      <c r="C30" s="2">
        <v>602.80596923828125</v>
      </c>
      <c r="D30" s="3">
        <v>8.99640143942423E-2</v>
      </c>
      <c r="E30" s="5">
        <v>59.762655916434163</v>
      </c>
      <c r="F30" s="5">
        <v>0.5976265591643416</v>
      </c>
      <c r="G30" s="5">
        <v>9.4870275146164627</v>
      </c>
      <c r="H30" s="6">
        <v>9.4870275146164626E-2</v>
      </c>
      <c r="I30" s="2">
        <v>0.12</v>
      </c>
      <c r="J30" s="3">
        <v>11291.982943223869</v>
      </c>
      <c r="K30" s="2">
        <v>1505597.7257631831</v>
      </c>
      <c r="L30" s="2">
        <v>15.382895934329181</v>
      </c>
      <c r="M30">
        <v>1.264885126717705</v>
      </c>
      <c r="N30" t="s">
        <v>55</v>
      </c>
      <c r="O30">
        <v>1.475114530972802</v>
      </c>
      <c r="P30">
        <v>32.409793234270289</v>
      </c>
      <c r="Q30">
        <v>2018.8510995552219</v>
      </c>
      <c r="R30">
        <v>267.91612687114321</v>
      </c>
      <c r="S30">
        <v>161501.4405331258</v>
      </c>
      <c r="T30">
        <v>0.1072673249763719</v>
      </c>
      <c r="U30">
        <v>96517.550205896507</v>
      </c>
      <c r="W30" t="s">
        <v>81</v>
      </c>
      <c r="X30">
        <f t="shared" si="1"/>
        <v>1312.3998941251762</v>
      </c>
      <c r="Y30">
        <f t="shared" si="2"/>
        <v>2081.8710661916662</v>
      </c>
      <c r="Z30">
        <f t="shared" si="0"/>
        <v>0.63039441559939091</v>
      </c>
    </row>
    <row r="31" spans="1:26" x14ac:dyDescent="0.25">
      <c r="A31" s="11">
        <v>45821</v>
      </c>
      <c r="B31" t="s">
        <v>40</v>
      </c>
      <c r="C31" s="2">
        <v>596.126953125</v>
      </c>
      <c r="D31" s="3">
        <v>8.99640143942423E-2</v>
      </c>
      <c r="E31" s="5">
        <v>59.762655916434163</v>
      </c>
      <c r="F31" s="5">
        <v>0.5976265591643416</v>
      </c>
      <c r="G31" s="5">
        <v>9.4870275146164627</v>
      </c>
      <c r="H31" s="6">
        <v>9.4870275146164626E-2</v>
      </c>
      <c r="I31" s="2">
        <v>0.12</v>
      </c>
      <c r="J31" s="3">
        <v>11173.21930606653</v>
      </c>
      <c r="K31" s="2">
        <v>1489762.5741422039</v>
      </c>
      <c r="L31" s="2">
        <v>10.61869498543062</v>
      </c>
      <c r="M31">
        <v>1.264885126717705</v>
      </c>
      <c r="N31" t="s">
        <v>55</v>
      </c>
      <c r="O31">
        <v>1.4749927213120471</v>
      </c>
      <c r="P31">
        <v>32.050696705227402</v>
      </c>
      <c r="Q31">
        <v>1379.5545361162281</v>
      </c>
      <c r="R31">
        <v>183.06173623198981</v>
      </c>
      <c r="S31">
        <v>109128.03505374851</v>
      </c>
      <c r="T31">
        <v>7.3251964405525324E-2</v>
      </c>
      <c r="U31">
        <v>65217.812097537382</v>
      </c>
      <c r="W31" t="s">
        <v>81</v>
      </c>
      <c r="X31">
        <f t="shared" si="1"/>
        <v>1299.1752169254751</v>
      </c>
      <c r="Y31">
        <f t="shared" si="2"/>
        <v>2105.1963835992692</v>
      </c>
      <c r="Z31">
        <f t="shared" si="0"/>
        <v>0.61712780196984096</v>
      </c>
    </row>
    <row r="32" spans="1:26" x14ac:dyDescent="0.25">
      <c r="A32" s="11">
        <v>45824</v>
      </c>
      <c r="B32" t="s">
        <v>40</v>
      </c>
      <c r="C32" s="2">
        <v>601.94647216796875</v>
      </c>
      <c r="D32" s="3">
        <v>8.99640143942423E-2</v>
      </c>
      <c r="E32" s="5">
        <v>59.762655916434163</v>
      </c>
      <c r="F32" s="5">
        <v>0.5976265591643416</v>
      </c>
      <c r="G32" s="5">
        <v>9.4870275146164627</v>
      </c>
      <c r="H32" s="6">
        <v>9.4870275146164626E-2</v>
      </c>
      <c r="I32" s="2">
        <v>0.12</v>
      </c>
      <c r="J32" s="3">
        <v>11215.28065076315</v>
      </c>
      <c r="K32" s="2">
        <v>1495370.7534350869</v>
      </c>
      <c r="L32" s="2">
        <v>13.231497250105219</v>
      </c>
      <c r="M32">
        <v>1.264885126717705</v>
      </c>
      <c r="N32" t="s">
        <v>55</v>
      </c>
      <c r="O32">
        <v>1.47487284513797</v>
      </c>
      <c r="P32">
        <v>32.363582473667691</v>
      </c>
      <c r="Q32">
        <v>1732.588176685093</v>
      </c>
      <c r="R32">
        <v>229.88929707832341</v>
      </c>
      <c r="S32">
        <v>138381.05136547089</v>
      </c>
      <c r="T32">
        <v>9.253962674312656E-2</v>
      </c>
      <c r="U32">
        <v>82700.191581090388</v>
      </c>
      <c r="W32" t="s">
        <v>81</v>
      </c>
      <c r="X32">
        <f t="shared" si="1"/>
        <v>1309.4422678970175</v>
      </c>
      <c r="Y32">
        <f t="shared" si="2"/>
        <v>2084.8436927704306</v>
      </c>
      <c r="Z32">
        <f t="shared" si="0"/>
        <v>0.62807695005517361</v>
      </c>
    </row>
    <row r="33" spans="1:26" x14ac:dyDescent="0.25">
      <c r="A33" s="11">
        <v>45825</v>
      </c>
      <c r="B33" t="s">
        <v>40</v>
      </c>
      <c r="C33" s="2">
        <v>596.96148681640625</v>
      </c>
      <c r="D33" s="3">
        <v>8.99640143942423E-2</v>
      </c>
      <c r="E33" s="5">
        <v>59.762655916434163</v>
      </c>
      <c r="F33" s="5">
        <v>0.5976265591643416</v>
      </c>
      <c r="G33" s="5">
        <v>9.4870275146164627</v>
      </c>
      <c r="H33" s="6">
        <v>9.4870275146164626E-2</v>
      </c>
      <c r="I33" s="2">
        <v>0.12</v>
      </c>
      <c r="J33" s="3">
        <v>11124.20037171249</v>
      </c>
      <c r="K33" s="2">
        <v>1483226.7162283319</v>
      </c>
      <c r="L33" s="2">
        <v>10.26623139363477</v>
      </c>
      <c r="M33">
        <v>1.264885126717705</v>
      </c>
      <c r="N33" t="s">
        <v>55</v>
      </c>
      <c r="O33">
        <v>1.474754871760307</v>
      </c>
      <c r="P33">
        <v>32.09556531264959</v>
      </c>
      <c r="Q33">
        <v>1349.4172658749681</v>
      </c>
      <c r="R33">
        <v>179.03375829590269</v>
      </c>
      <c r="S33">
        <v>106876.25854265119</v>
      </c>
      <c r="T33">
        <v>7.2056589443335206E-2</v>
      </c>
      <c r="U33">
        <v>63872.090649203201</v>
      </c>
      <c r="W33" t="s">
        <v>81</v>
      </c>
      <c r="X33">
        <f t="shared" si="1"/>
        <v>1314.423193998558</v>
      </c>
      <c r="Y33">
        <f t="shared" si="2"/>
        <v>2102.2533841798099</v>
      </c>
      <c r="Z33">
        <f t="shared" si="0"/>
        <v>0.62524489383156712</v>
      </c>
    </row>
    <row r="34" spans="1:26" x14ac:dyDescent="0.25">
      <c r="A34" s="11">
        <v>45826</v>
      </c>
      <c r="B34" t="s">
        <v>40</v>
      </c>
      <c r="C34" s="2">
        <v>596.8218994140625</v>
      </c>
      <c r="D34" s="3">
        <v>8.99640143942423E-2</v>
      </c>
      <c r="E34" s="5">
        <v>59.762655916434163</v>
      </c>
      <c r="F34" s="5">
        <v>0.5976265591643416</v>
      </c>
      <c r="G34" s="5">
        <v>9.4870275146164627</v>
      </c>
      <c r="H34" s="6">
        <v>9.4870275146164626E-2</v>
      </c>
      <c r="I34" s="2">
        <v>0.12</v>
      </c>
      <c r="J34" s="3">
        <v>11124.09512319725</v>
      </c>
      <c r="K34" s="2">
        <v>1483212.6830929669</v>
      </c>
      <c r="L34" s="2">
        <v>9.0728360817712232</v>
      </c>
      <c r="M34">
        <v>1.264885126717705</v>
      </c>
      <c r="N34" t="s">
        <v>55</v>
      </c>
      <c r="O34">
        <v>1.474638770975941</v>
      </c>
      <c r="P34">
        <v>32.088060412102919</v>
      </c>
      <c r="Q34">
        <v>1220.289097803465</v>
      </c>
      <c r="R34">
        <v>161.88894978959971</v>
      </c>
      <c r="S34">
        <v>96618.870507576707</v>
      </c>
      <c r="T34">
        <v>6.5141615635389394E-2</v>
      </c>
      <c r="U34">
        <v>57742.003131788151</v>
      </c>
      <c r="W34" t="s">
        <v>81</v>
      </c>
      <c r="X34">
        <f t="shared" si="1"/>
        <v>1344.9918931691279</v>
      </c>
      <c r="Y34">
        <f t="shared" si="2"/>
        <v>2102.7450686995207</v>
      </c>
      <c r="Z34">
        <f t="shared" si="0"/>
        <v>0.63963621324812403</v>
      </c>
    </row>
    <row r="35" spans="1:26" x14ac:dyDescent="0.25">
      <c r="A35" s="11">
        <v>45827</v>
      </c>
      <c r="B35" t="s">
        <v>40</v>
      </c>
      <c r="D35" s="3">
        <v>8.99640143942423E-2</v>
      </c>
      <c r="E35" s="5">
        <v>59.762655916434163</v>
      </c>
      <c r="F35" s="5">
        <v>0.5976265591643416</v>
      </c>
      <c r="G35" s="5">
        <v>9.4870275146164627</v>
      </c>
      <c r="H35" s="6">
        <v>9.4870275146164626E-2</v>
      </c>
      <c r="I35" s="2">
        <v>0.12</v>
      </c>
      <c r="J35" s="3">
        <v>11123.951540870679</v>
      </c>
      <c r="K35" s="2">
        <v>1483193.538782757</v>
      </c>
      <c r="L35" s="2">
        <v>9.0719240414905808</v>
      </c>
      <c r="M35">
        <v>1.264885126717705</v>
      </c>
      <c r="N35" t="s">
        <v>55</v>
      </c>
      <c r="O35">
        <v>1.4745245130611671</v>
      </c>
      <c r="Q35">
        <v>1220.0488695744009</v>
      </c>
      <c r="R35">
        <v>161.84453904517329</v>
      </c>
      <c r="W35" t="s">
        <v>81</v>
      </c>
      <c r="X35">
        <f t="shared" si="1"/>
        <v>1344.862307041471</v>
      </c>
      <c r="Y35" t="e">
        <f t="shared" si="2"/>
        <v>#DIV/0!</v>
      </c>
      <c r="Z35" t="e">
        <f t="shared" si="0"/>
        <v>#DIV/0!</v>
      </c>
    </row>
    <row r="36" spans="1:26" x14ac:dyDescent="0.25">
      <c r="A36" s="11">
        <v>45828</v>
      </c>
      <c r="B36" t="s">
        <v>40</v>
      </c>
      <c r="C36" s="2">
        <v>594.86773681640625</v>
      </c>
      <c r="D36" s="3">
        <v>8.99640143942423E-2</v>
      </c>
      <c r="E36" s="5">
        <v>59.762655916434163</v>
      </c>
      <c r="F36" s="5">
        <v>0.5976265591643416</v>
      </c>
      <c r="G36" s="5">
        <v>9.4870275146164627</v>
      </c>
      <c r="H36" s="6">
        <v>9.4870275146164626E-2</v>
      </c>
      <c r="I36" s="2">
        <v>0.12</v>
      </c>
      <c r="J36" s="3">
        <v>11112.570341714751</v>
      </c>
      <c r="K36" s="2">
        <v>1481676.045561967</v>
      </c>
      <c r="L36" s="2">
        <v>4.0307761617336064</v>
      </c>
      <c r="M36">
        <v>1.264885126717705</v>
      </c>
      <c r="N36" t="s">
        <v>55</v>
      </c>
      <c r="O36">
        <v>1.474412068764088</v>
      </c>
      <c r="P36">
        <v>31.982995085997722</v>
      </c>
      <c r="Q36">
        <v>542.03173341767365</v>
      </c>
      <c r="R36">
        <v>71.897272729406623</v>
      </c>
      <c r="S36">
        <v>42769.367911814043</v>
      </c>
      <c r="T36">
        <v>2.886553240832922E-2</v>
      </c>
      <c r="U36">
        <v>25560.11018277123</v>
      </c>
      <c r="W36" t="s">
        <v>81</v>
      </c>
      <c r="X36">
        <f t="shared" si="1"/>
        <v>1344.7329042070892</v>
      </c>
      <c r="Y36">
        <f t="shared" si="2"/>
        <v>2109.6526643066545</v>
      </c>
      <c r="Z36">
        <f t="shared" si="0"/>
        <v>0.63741910076417285</v>
      </c>
    </row>
    <row r="37" spans="1:26" x14ac:dyDescent="0.25">
      <c r="A37" s="11">
        <v>45831</v>
      </c>
      <c r="B37" t="s">
        <v>40</v>
      </c>
      <c r="C37" s="2">
        <v>601.118896484375</v>
      </c>
      <c r="D37" s="3">
        <v>8.99640143942423E-2</v>
      </c>
      <c r="E37" s="5">
        <v>59.762655916434163</v>
      </c>
      <c r="F37" s="5">
        <v>0.5976265591643416</v>
      </c>
      <c r="G37" s="5">
        <v>9.4870275146164627</v>
      </c>
      <c r="H37" s="6">
        <v>9.4870275146164626E-2</v>
      </c>
      <c r="I37" s="2">
        <v>0.12</v>
      </c>
      <c r="J37" s="3">
        <v>11164.036014155339</v>
      </c>
      <c r="K37" s="2">
        <v>1488538.135220713</v>
      </c>
      <c r="L37" s="2">
        <v>10.04249190044872</v>
      </c>
      <c r="M37">
        <v>1.264885126717705</v>
      </c>
      <c r="N37" t="s">
        <v>55</v>
      </c>
      <c r="O37">
        <v>1.4743014092971221</v>
      </c>
      <c r="P37">
        <v>32.319087962730983</v>
      </c>
      <c r="Q37">
        <v>1350.4469298766569</v>
      </c>
      <c r="R37">
        <v>179.1152769407505</v>
      </c>
      <c r="S37">
        <v>107669.5776181172</v>
      </c>
      <c r="T37">
        <v>7.2332428085325792E-2</v>
      </c>
      <c r="U37">
        <v>64346.199198593356</v>
      </c>
      <c r="W37" t="s">
        <v>81</v>
      </c>
      <c r="X37">
        <f t="shared" si="1"/>
        <v>1344.7329042070883</v>
      </c>
      <c r="Y37">
        <f t="shared" si="2"/>
        <v>2087.7139501426768</v>
      </c>
      <c r="Z37">
        <f t="shared" si="0"/>
        <v>0.64411741087191932</v>
      </c>
    </row>
    <row r="38" spans="1:26" x14ac:dyDescent="0.25">
      <c r="A38" s="11">
        <v>45832</v>
      </c>
      <c r="B38" t="s">
        <v>40</v>
      </c>
      <c r="C38" s="2">
        <v>607.67919921875</v>
      </c>
      <c r="D38" s="3">
        <v>8.99640143942423E-2</v>
      </c>
      <c r="E38" s="5">
        <v>59.762655916434163</v>
      </c>
      <c r="F38" s="5">
        <v>0.5976265591643416</v>
      </c>
      <c r="G38" s="5">
        <v>9.4870275146164627</v>
      </c>
      <c r="H38" s="6">
        <v>9.4870275146164626E-2</v>
      </c>
      <c r="I38" s="2">
        <v>0.12</v>
      </c>
      <c r="J38" s="3">
        <v>11222.1784826149</v>
      </c>
      <c r="K38" s="2">
        <v>1496290.4643486531</v>
      </c>
      <c r="L38" s="2">
        <v>13.95576751028716</v>
      </c>
      <c r="M38">
        <v>1.264885126717705</v>
      </c>
      <c r="N38" t="s">
        <v>55</v>
      </c>
      <c r="O38">
        <v>1.4741925063296319</v>
      </c>
      <c r="P38">
        <v>32.671801880683688</v>
      </c>
      <c r="Q38">
        <v>1876.677977454739</v>
      </c>
      <c r="R38">
        <v>248.89305775468489</v>
      </c>
      <c r="S38">
        <v>151247.13402747299</v>
      </c>
      <c r="T38">
        <v>0.1010813993881275</v>
      </c>
      <c r="U38">
        <v>90389.304292306682</v>
      </c>
      <c r="W38" t="s">
        <v>81</v>
      </c>
      <c r="X38">
        <f t="shared" si="1"/>
        <v>1344.7329042070892</v>
      </c>
      <c r="Y38">
        <f t="shared" si="2"/>
        <v>2065.1756839763802</v>
      </c>
      <c r="Z38">
        <f t="shared" si="0"/>
        <v>0.65114697729632431</v>
      </c>
    </row>
    <row r="39" spans="1:26" x14ac:dyDescent="0.25">
      <c r="A39" s="11">
        <v>45833</v>
      </c>
      <c r="B39" t="s">
        <v>40</v>
      </c>
      <c r="C39" s="2">
        <v>608.12786865234375</v>
      </c>
      <c r="D39" s="3">
        <v>8.99640143942423E-2</v>
      </c>
      <c r="E39" s="5">
        <v>59.762655916434163</v>
      </c>
      <c r="F39" s="5">
        <v>0.5976265591643416</v>
      </c>
      <c r="G39" s="5">
        <v>9.4870275146164627</v>
      </c>
      <c r="H39" s="6">
        <v>9.4870275146164626E-2</v>
      </c>
      <c r="I39" s="2">
        <v>0.12</v>
      </c>
      <c r="J39" s="3">
        <v>11202.84114654089</v>
      </c>
      <c r="K39" s="2">
        <v>1493712.1528721191</v>
      </c>
      <c r="L39" s="2">
        <v>15.529151413478839</v>
      </c>
      <c r="M39">
        <v>1.264885126717705</v>
      </c>
      <c r="N39" t="s">
        <v>55</v>
      </c>
      <c r="O39">
        <v>1.4740853319806719</v>
      </c>
      <c r="P39">
        <v>32.695924540901672</v>
      </c>
      <c r="Q39">
        <v>2088.2560880119031</v>
      </c>
      <c r="R39">
        <v>276.93331683255133</v>
      </c>
      <c r="S39">
        <v>168410.86772420371</v>
      </c>
      <c r="T39">
        <v>0.11274653379527121</v>
      </c>
      <c r="U39">
        <v>100646.80740389691</v>
      </c>
      <c r="W39" t="s">
        <v>81</v>
      </c>
      <c r="X39">
        <f t="shared" si="1"/>
        <v>1344.7329042070896</v>
      </c>
      <c r="Y39">
        <f t="shared" si="2"/>
        <v>2063.6520221740448</v>
      </c>
      <c r="Z39">
        <f t="shared" si="0"/>
        <v>0.65162774041256322</v>
      </c>
    </row>
    <row r="40" spans="1:26" x14ac:dyDescent="0.25">
      <c r="A40" s="11">
        <v>45834</v>
      </c>
      <c r="B40" t="s">
        <v>40</v>
      </c>
      <c r="C40" s="2">
        <v>612.91339111328125</v>
      </c>
      <c r="D40" s="3">
        <v>8.99640143942423E-2</v>
      </c>
      <c r="E40" s="5">
        <v>59.762655916434163</v>
      </c>
      <c r="F40" s="5">
        <v>0.5976265591643416</v>
      </c>
      <c r="G40" s="5">
        <v>9.4870275146164627</v>
      </c>
      <c r="H40" s="6">
        <v>9.4870275146164626E-2</v>
      </c>
      <c r="I40" s="2">
        <v>0.12</v>
      </c>
      <c r="J40" s="3">
        <v>11285.481866795861</v>
      </c>
      <c r="K40" s="2">
        <v>1504730.9155727811</v>
      </c>
      <c r="L40" s="2">
        <v>16.559813824164859</v>
      </c>
      <c r="M40">
        <v>1.264885126717705</v>
      </c>
      <c r="N40" t="s">
        <v>55</v>
      </c>
      <c r="O40">
        <v>1.473979858811856</v>
      </c>
      <c r="P40">
        <v>32.953217602669007</v>
      </c>
      <c r="Q40">
        <v>2226.8526536897921</v>
      </c>
      <c r="R40">
        <v>295.29211952909748</v>
      </c>
      <c r="S40">
        <v>180988.49434960759</v>
      </c>
      <c r="T40">
        <v>0.1202796410152267</v>
      </c>
      <c r="U40">
        <v>108163.5311264909</v>
      </c>
      <c r="W40" t="s">
        <v>81</v>
      </c>
      <c r="X40">
        <f t="shared" si="1"/>
        <v>1344.7329042070894</v>
      </c>
      <c r="Y40">
        <f t="shared" si="2"/>
        <v>2047.5393817147867</v>
      </c>
      <c r="Z40">
        <f t="shared" si="0"/>
        <v>0.65675557511421034</v>
      </c>
    </row>
    <row r="41" spans="1:26" x14ac:dyDescent="0.25">
      <c r="A41" s="11">
        <v>45835</v>
      </c>
      <c r="B41" t="s">
        <v>40</v>
      </c>
      <c r="C41" s="2">
        <v>615.60528564453125</v>
      </c>
      <c r="D41" s="3">
        <v>8.99640143942423E-2</v>
      </c>
      <c r="E41" s="5">
        <v>59.762655916434163</v>
      </c>
      <c r="F41" s="5">
        <v>0.5976265591643416</v>
      </c>
      <c r="G41" s="5">
        <v>9.4870275146164627</v>
      </c>
      <c r="H41" s="6">
        <v>9.4870275146164626E-2</v>
      </c>
      <c r="I41" s="2">
        <v>0.12</v>
      </c>
      <c r="J41" s="3">
        <v>11266.662534083731</v>
      </c>
      <c r="K41" s="2">
        <v>1502221.6712111649</v>
      </c>
      <c r="L41" s="2">
        <v>17.336418854519451</v>
      </c>
      <c r="M41">
        <v>1.264885126717705</v>
      </c>
      <c r="N41" t="s">
        <v>55</v>
      </c>
      <c r="O41">
        <v>1.473876059820322</v>
      </c>
      <c r="P41">
        <v>33.097947000880701</v>
      </c>
      <c r="Q41">
        <v>2331.2852874788468</v>
      </c>
      <c r="R41">
        <v>309.11865415146542</v>
      </c>
      <c r="S41">
        <v>190295.07738696589</v>
      </c>
      <c r="T41">
        <v>0.12667576365979369</v>
      </c>
      <c r="U41">
        <v>113725.39232468449</v>
      </c>
      <c r="W41" t="s">
        <v>81</v>
      </c>
      <c r="X41">
        <f t="shared" si="1"/>
        <v>1344.7329042070887</v>
      </c>
      <c r="Y41">
        <f t="shared" si="2"/>
        <v>2038.5859822026523</v>
      </c>
      <c r="Z41">
        <f t="shared" si="0"/>
        <v>0.65964002300954272</v>
      </c>
    </row>
    <row r="42" spans="1:26" x14ac:dyDescent="0.25">
      <c r="A42" s="11">
        <v>45838</v>
      </c>
      <c r="B42" t="s">
        <v>40</v>
      </c>
      <c r="C42" s="2">
        <v>619.03497314453125</v>
      </c>
      <c r="D42" s="3">
        <v>8.99640143942423E-2</v>
      </c>
      <c r="E42" s="5">
        <v>59.762655916434163</v>
      </c>
      <c r="F42" s="5">
        <v>0.5976265591643416</v>
      </c>
      <c r="G42" s="5">
        <v>9.4870275146164627</v>
      </c>
      <c r="H42" s="6">
        <v>9.4870275146164626E-2</v>
      </c>
      <c r="I42" s="2">
        <v>0.12</v>
      </c>
      <c r="J42" s="3">
        <v>11364.66551867041</v>
      </c>
      <c r="K42" s="2">
        <v>1515288.7358227221</v>
      </c>
      <c r="L42" s="2">
        <v>18.040012021992681</v>
      </c>
      <c r="M42">
        <v>1.264885126717705</v>
      </c>
      <c r="N42" t="s">
        <v>55</v>
      </c>
      <c r="O42">
        <v>1.473773908431828</v>
      </c>
      <c r="P42">
        <v>33.282343752747011</v>
      </c>
      <c r="Q42">
        <v>2425.8997758265018</v>
      </c>
      <c r="R42">
        <v>321.64184469765479</v>
      </c>
      <c r="S42">
        <v>199107.55069457029</v>
      </c>
      <c r="T42">
        <v>0.13139908321595581</v>
      </c>
      <c r="U42">
        <v>118991.96042523569</v>
      </c>
      <c r="W42" t="s">
        <v>81</v>
      </c>
      <c r="X42">
        <f t="shared" si="1"/>
        <v>1344.7329042070889</v>
      </c>
      <c r="Y42">
        <f t="shared" si="2"/>
        <v>2027.2914460873185</v>
      </c>
      <c r="Z42">
        <f t="shared" si="0"/>
        <v>0.66331503879347464</v>
      </c>
    </row>
    <row r="43" spans="1:26" x14ac:dyDescent="0.25">
      <c r="A43" s="11">
        <v>45839</v>
      </c>
      <c r="B43" t="s">
        <v>40</v>
      </c>
      <c r="C43" s="2">
        <v>618.80560302734375</v>
      </c>
      <c r="D43" s="3">
        <v>8.99640143942423E-2</v>
      </c>
      <c r="E43" s="5">
        <v>59.762655916434163</v>
      </c>
      <c r="F43" s="5">
        <v>0.5976265591643416</v>
      </c>
      <c r="G43" s="5">
        <v>9.4870275146164627</v>
      </c>
      <c r="H43" s="6">
        <v>9.4870275146164626E-2</v>
      </c>
      <c r="I43" s="2">
        <v>0.12</v>
      </c>
      <c r="J43" s="3">
        <v>11383.54625943927</v>
      </c>
      <c r="K43" s="2">
        <v>1517806.167925236</v>
      </c>
      <c r="L43" s="2">
        <v>18.370332109012651</v>
      </c>
      <c r="M43">
        <v>1.264885126717705</v>
      </c>
      <c r="N43" t="s">
        <v>55</v>
      </c>
      <c r="O43">
        <v>1.4736733784939451</v>
      </c>
      <c r="P43">
        <v>33.270011694918253</v>
      </c>
      <c r="Q43">
        <v>2470.3190048201318</v>
      </c>
      <c r="R43">
        <v>327.50889824983039</v>
      </c>
      <c r="S43">
        <v>202664.34127830731</v>
      </c>
      <c r="T43">
        <v>0.13352452082556701</v>
      </c>
      <c r="U43">
        <v>121117.5929434626</v>
      </c>
      <c r="W43" t="s">
        <v>81</v>
      </c>
      <c r="X43">
        <f t="shared" si="1"/>
        <v>1344.7329042070889</v>
      </c>
      <c r="Y43">
        <f t="shared" si="2"/>
        <v>2028.0428938348623</v>
      </c>
      <c r="Z43">
        <f t="shared" si="0"/>
        <v>0.66306926164875613</v>
      </c>
    </row>
    <row r="44" spans="1:26" x14ac:dyDescent="0.25">
      <c r="A44" s="11">
        <v>45840</v>
      </c>
      <c r="B44" t="s">
        <v>40</v>
      </c>
      <c r="C44" s="2">
        <v>621.54736328125</v>
      </c>
      <c r="D44" s="3">
        <v>8.99640143942423E-2</v>
      </c>
      <c r="E44" s="5">
        <v>59.762655916434163</v>
      </c>
      <c r="F44" s="5">
        <v>0.5976265591643416</v>
      </c>
      <c r="G44" s="5">
        <v>9.4870275146164627</v>
      </c>
      <c r="H44" s="6">
        <v>9.4870275146164626E-2</v>
      </c>
      <c r="I44" s="2">
        <v>0.12</v>
      </c>
      <c r="J44" s="3">
        <v>11383.267738204209</v>
      </c>
      <c r="K44" s="2">
        <v>1517769.031760562</v>
      </c>
      <c r="L44" s="2">
        <v>18.753994192814041</v>
      </c>
      <c r="M44">
        <v>1.264885126717705</v>
      </c>
      <c r="N44" t="s">
        <v>55</v>
      </c>
      <c r="O44">
        <v>1.4735744442693619</v>
      </c>
      <c r="P44">
        <v>33.417422117942643</v>
      </c>
      <c r="Q44">
        <v>2521.9113076385711</v>
      </c>
      <c r="R44">
        <v>334.32643422260719</v>
      </c>
      <c r="S44">
        <v>207799.71366628379</v>
      </c>
      <c r="T44">
        <v>0.13691128842261521</v>
      </c>
      <c r="U44">
        <v>124186.6278737166</v>
      </c>
      <c r="W44" t="s">
        <v>81</v>
      </c>
      <c r="X44">
        <f t="shared" si="1"/>
        <v>1344.7329042070892</v>
      </c>
      <c r="Y44">
        <f t="shared" si="2"/>
        <v>2019.0968219374943</v>
      </c>
      <c r="Z44">
        <f t="shared" si="0"/>
        <v>0.66600714220168211</v>
      </c>
    </row>
    <row r="45" spans="1:26" x14ac:dyDescent="0.25">
      <c r="A45" s="11">
        <v>45841</v>
      </c>
      <c r="B45" t="s">
        <v>40</v>
      </c>
      <c r="C45" s="2">
        <v>626.2830810546875</v>
      </c>
      <c r="D45" s="3">
        <v>8.99640143942423E-2</v>
      </c>
      <c r="E45" s="5">
        <v>59.762655916434163</v>
      </c>
      <c r="F45" s="5">
        <v>0.5976265591643416</v>
      </c>
      <c r="G45" s="5">
        <v>9.4870275146164627</v>
      </c>
      <c r="H45" s="6">
        <v>9.4870275146164626E-2</v>
      </c>
      <c r="I45" s="2">
        <v>0.12</v>
      </c>
      <c r="J45" s="3">
        <v>11404.46726448498</v>
      </c>
      <c r="K45" s="2">
        <v>1520595.635264664</v>
      </c>
      <c r="L45" s="2">
        <v>19.009402982840221</v>
      </c>
      <c r="M45">
        <v>1.264885126717705</v>
      </c>
      <c r="N45" t="s">
        <v>55</v>
      </c>
      <c r="O45">
        <v>1.473477080429296</v>
      </c>
      <c r="P45">
        <v>33.6720374364454</v>
      </c>
      <c r="Q45">
        <v>2556.2569680357642</v>
      </c>
      <c r="R45">
        <v>338.85720195503887</v>
      </c>
      <c r="S45">
        <v>212220.53247797221</v>
      </c>
      <c r="T45">
        <v>0.1395640810458032</v>
      </c>
      <c r="U45">
        <v>126828.62660883489</v>
      </c>
      <c r="W45" t="s">
        <v>81</v>
      </c>
      <c r="X45">
        <f t="shared" si="1"/>
        <v>1344.7329042070896</v>
      </c>
      <c r="Y45">
        <f t="shared" si="2"/>
        <v>2003.82916902591</v>
      </c>
      <c r="Z45">
        <f t="shared" si="0"/>
        <v>0.6710816096467862</v>
      </c>
    </row>
    <row r="46" spans="1:26" x14ac:dyDescent="0.25">
      <c r="A46" s="11">
        <v>45842</v>
      </c>
      <c r="B46" t="s">
        <v>40</v>
      </c>
      <c r="D46" s="3">
        <v>8.99640143942423E-2</v>
      </c>
      <c r="E46" s="5">
        <v>59.762655916434163</v>
      </c>
      <c r="F46" s="5">
        <v>0.5976265591643416</v>
      </c>
      <c r="G46" s="5">
        <v>9.4870275146164627</v>
      </c>
      <c r="H46" s="6">
        <v>9.4870275146164626E-2</v>
      </c>
      <c r="I46" s="2">
        <v>0.12</v>
      </c>
      <c r="J46" s="3">
        <v>11404.379963323419</v>
      </c>
      <c r="K46" s="2">
        <v>1520583.9951097891</v>
      </c>
      <c r="L46" s="2">
        <v>19.006056353836971</v>
      </c>
      <c r="M46">
        <v>1.264885126717705</v>
      </c>
      <c r="N46" t="s">
        <v>55</v>
      </c>
      <c r="O46">
        <v>1.473381262047009</v>
      </c>
      <c r="Q46">
        <v>2555.8069358218791</v>
      </c>
      <c r="R46">
        <v>338.77551414120421</v>
      </c>
      <c r="W46" t="s">
        <v>81</v>
      </c>
      <c r="X46">
        <f t="shared" si="1"/>
        <v>1344.7329042070892</v>
      </c>
      <c r="Y46" t="e">
        <f t="shared" si="2"/>
        <v>#DIV/0!</v>
      </c>
      <c r="Z46" t="e">
        <f t="shared" si="0"/>
        <v>#DIV/0!</v>
      </c>
    </row>
    <row r="47" spans="1:26" x14ac:dyDescent="0.25">
      <c r="A47" s="11">
        <v>45845</v>
      </c>
      <c r="B47" t="s">
        <v>40</v>
      </c>
      <c r="C47" s="2">
        <v>621.9561767578125</v>
      </c>
      <c r="D47" s="3">
        <v>8.99640143942423E-2</v>
      </c>
      <c r="E47" s="5">
        <v>59.762655916434163</v>
      </c>
      <c r="F47" s="5">
        <v>0.5976265591643416</v>
      </c>
      <c r="G47" s="5">
        <v>9.4870275146164627</v>
      </c>
      <c r="H47" s="6">
        <v>9.4870275146164626E-2</v>
      </c>
      <c r="I47" s="2">
        <v>0.12</v>
      </c>
      <c r="J47" s="3">
        <v>11256.82392249994</v>
      </c>
      <c r="K47" s="2">
        <v>1500909.8563333249</v>
      </c>
      <c r="L47" s="2">
        <v>16.82763669977156</v>
      </c>
      <c r="M47">
        <v>1.264885126717705</v>
      </c>
      <c r="N47" t="s">
        <v>55</v>
      </c>
      <c r="O47">
        <v>1.4732869645914251</v>
      </c>
      <c r="P47">
        <v>33.439401927239352</v>
      </c>
      <c r="Q47">
        <v>2262.8676770225602</v>
      </c>
      <c r="R47">
        <v>299.92683984025342</v>
      </c>
      <c r="S47">
        <v>186541.35061409671</v>
      </c>
      <c r="T47">
        <v>0.1242855124356444</v>
      </c>
      <c r="U47">
        <v>111482.06550937171</v>
      </c>
      <c r="W47" t="s">
        <v>81</v>
      </c>
      <c r="X47">
        <f t="shared" si="1"/>
        <v>1344.7329042070889</v>
      </c>
      <c r="Y47">
        <f t="shared" si="2"/>
        <v>2017.7696641374137</v>
      </c>
      <c r="Z47">
        <f t="shared" si="0"/>
        <v>0.66644519843247596</v>
      </c>
    </row>
    <row r="48" spans="1:26" x14ac:dyDescent="0.25">
      <c r="A48" s="11">
        <v>45846</v>
      </c>
      <c r="B48" t="s">
        <v>40</v>
      </c>
      <c r="C48" s="2">
        <v>621.45770263671875</v>
      </c>
      <c r="D48" s="3">
        <v>8.99640143942423E-2</v>
      </c>
      <c r="E48" s="5">
        <v>59.762655916434163</v>
      </c>
      <c r="F48" s="5">
        <v>0.5976265591643416</v>
      </c>
      <c r="G48" s="5">
        <v>9.4870275146164627</v>
      </c>
      <c r="H48" s="6">
        <v>9.4870275146164626E-2</v>
      </c>
      <c r="I48" s="2">
        <v>0.12</v>
      </c>
      <c r="J48" s="3">
        <v>11257.086163236099</v>
      </c>
      <c r="K48" s="2">
        <v>1500944.821764813</v>
      </c>
      <c r="L48" s="2">
        <v>16.093654653523259</v>
      </c>
      <c r="M48">
        <v>1.264885126717705</v>
      </c>
      <c r="N48" t="s">
        <v>55</v>
      </c>
      <c r="O48">
        <v>1.4731941639208499</v>
      </c>
      <c r="P48">
        <v>33.412601523756791</v>
      </c>
      <c r="Q48">
        <v>2164.1666961538272</v>
      </c>
      <c r="R48">
        <v>286.82666649478898</v>
      </c>
      <c r="S48">
        <v>178250.64121479989</v>
      </c>
      <c r="T48">
        <v>0.1187589567784461</v>
      </c>
      <c r="U48">
        <v>106527.31737803839</v>
      </c>
      <c r="W48" t="s">
        <v>81</v>
      </c>
      <c r="X48">
        <f t="shared" si="1"/>
        <v>1344.7329042070894</v>
      </c>
      <c r="Y48">
        <f t="shared" si="2"/>
        <v>2019.3881265937207</v>
      </c>
      <c r="Z48">
        <f t="shared" si="0"/>
        <v>0.66591106805969413</v>
      </c>
    </row>
    <row r="49" spans="1:26" x14ac:dyDescent="0.25">
      <c r="A49" s="11">
        <v>45847</v>
      </c>
      <c r="B49" t="s">
        <v>40</v>
      </c>
      <c r="C49" s="2">
        <v>625.14654541015625</v>
      </c>
      <c r="D49" s="3">
        <v>8.99640143942423E-2</v>
      </c>
      <c r="E49" s="5">
        <v>59.762655916434163</v>
      </c>
      <c r="F49" s="5">
        <v>0.5976265591643416</v>
      </c>
      <c r="G49" s="5">
        <v>9.4870275146164627</v>
      </c>
      <c r="H49" s="6">
        <v>9.4870275146164626E-2</v>
      </c>
      <c r="I49" s="2">
        <v>0.12</v>
      </c>
      <c r="J49" s="3">
        <v>11316.85644497541</v>
      </c>
      <c r="K49" s="2">
        <v>1508914.192663389</v>
      </c>
      <c r="L49" s="2">
        <v>17.49124009024743</v>
      </c>
      <c r="M49">
        <v>1.264885126717705</v>
      </c>
      <c r="N49" t="s">
        <v>55</v>
      </c>
      <c r="O49">
        <v>1.4731028362767931</v>
      </c>
      <c r="P49">
        <v>33.610931728933608</v>
      </c>
      <c r="Q49">
        <v>2352.1046084741888</v>
      </c>
      <c r="R49">
        <v>311.71559103253378</v>
      </c>
      <c r="S49">
        <v>194867.92488447361</v>
      </c>
      <c r="T49">
        <v>0.12914447079360539</v>
      </c>
      <c r="U49">
        <v>116458.2474402033</v>
      </c>
      <c r="W49" t="s">
        <v>81</v>
      </c>
      <c r="X49">
        <f t="shared" si="1"/>
        <v>1344.7329042070887</v>
      </c>
      <c r="Y49">
        <f t="shared" si="2"/>
        <v>2007.4721920784573</v>
      </c>
      <c r="Z49">
        <f t="shared" si="0"/>
        <v>0.6698637767005905</v>
      </c>
    </row>
    <row r="50" spans="1:26" x14ac:dyDescent="0.25">
      <c r="A50" s="11">
        <v>45848</v>
      </c>
      <c r="B50" t="s">
        <v>40</v>
      </c>
      <c r="C50" s="2">
        <v>626.9610595703125</v>
      </c>
      <c r="D50" s="3">
        <v>8.99640143942423E-2</v>
      </c>
      <c r="E50" s="5">
        <v>59.762655916434163</v>
      </c>
      <c r="F50" s="5">
        <v>0.5976265591643416</v>
      </c>
      <c r="G50" s="5">
        <v>9.4870275146164627</v>
      </c>
      <c r="H50" s="6">
        <v>9.4870275146164626E-2</v>
      </c>
      <c r="I50" s="2">
        <v>0.12</v>
      </c>
      <c r="J50" s="3">
        <v>11319.062146552749</v>
      </c>
      <c r="K50" s="2">
        <v>1509208.2862070331</v>
      </c>
      <c r="L50" s="2">
        <v>18.734022322538401</v>
      </c>
      <c r="M50">
        <v>1.264885126717705</v>
      </c>
      <c r="N50" t="s">
        <v>55</v>
      </c>
      <c r="O50">
        <v>1.473012958277879</v>
      </c>
      <c r="P50">
        <v>33.708488872944031</v>
      </c>
      <c r="Q50">
        <v>2519.2256245267499</v>
      </c>
      <c r="R50">
        <v>333.84314179188198</v>
      </c>
      <c r="S50">
        <v>209306.64990812039</v>
      </c>
      <c r="T50">
        <v>0.13868639062017959</v>
      </c>
      <c r="U50">
        <v>125087.21299480549</v>
      </c>
      <c r="W50" t="s">
        <v>81</v>
      </c>
      <c r="X50">
        <f t="shared" si="1"/>
        <v>1344.7329042070889</v>
      </c>
      <c r="Y50">
        <f t="shared" si="2"/>
        <v>2001.6622830529386</v>
      </c>
      <c r="Z50">
        <f t="shared" si="0"/>
        <v>0.67180808450669316</v>
      </c>
    </row>
    <row r="51" spans="1:26" x14ac:dyDescent="0.25">
      <c r="A51" s="11">
        <v>45849</v>
      </c>
      <c r="B51" t="s">
        <v>40</v>
      </c>
      <c r="C51" s="2">
        <v>624.55828857421875</v>
      </c>
      <c r="D51" s="3">
        <v>8.99640143942423E-2</v>
      </c>
      <c r="E51" s="5">
        <v>59.762655916434163</v>
      </c>
      <c r="F51" s="5">
        <v>0.5976265591643416</v>
      </c>
      <c r="G51" s="5">
        <v>9.4870275146164627</v>
      </c>
      <c r="H51" s="6">
        <v>9.4870275146164626E-2</v>
      </c>
      <c r="I51" s="2">
        <v>0.12</v>
      </c>
      <c r="J51" s="3">
        <v>11263.486507115431</v>
      </c>
      <c r="K51" s="2">
        <v>1501798.2009487229</v>
      </c>
      <c r="L51" s="2">
        <v>16.8517100356868</v>
      </c>
      <c r="M51">
        <v>1.264885126717705</v>
      </c>
      <c r="N51" t="s">
        <v>55</v>
      </c>
      <c r="O51">
        <v>1.472924506913869</v>
      </c>
      <c r="P51">
        <v>33.579304168168953</v>
      </c>
      <c r="Q51">
        <v>2266.104897714486</v>
      </c>
      <c r="R51">
        <v>300.28201668476629</v>
      </c>
      <c r="S51">
        <v>187543.6224302527</v>
      </c>
      <c r="T51">
        <v>0.1248793761450618</v>
      </c>
      <c r="U51">
        <v>112081.04976620831</v>
      </c>
      <c r="W51" t="s">
        <v>81</v>
      </c>
      <c r="X51">
        <f t="shared" si="1"/>
        <v>1344.7329042070892</v>
      </c>
      <c r="Y51">
        <f t="shared" si="2"/>
        <v>2009.3629831568055</v>
      </c>
      <c r="Z51">
        <f t="shared" si="0"/>
        <v>0.66923344138372121</v>
      </c>
    </row>
    <row r="52" spans="1:26" x14ac:dyDescent="0.25">
      <c r="A52" s="11">
        <v>45852</v>
      </c>
      <c r="B52" t="s">
        <v>40</v>
      </c>
      <c r="C52" s="2">
        <v>625.8543701171875</v>
      </c>
      <c r="D52" s="3">
        <v>8.99640143942423E-2</v>
      </c>
      <c r="E52" s="5">
        <v>59.762655916434163</v>
      </c>
      <c r="F52" s="5">
        <v>0.5976265591643416</v>
      </c>
      <c r="G52" s="5">
        <v>9.4870275146164627</v>
      </c>
      <c r="H52" s="6">
        <v>9.4870275146164626E-2</v>
      </c>
      <c r="I52" s="2">
        <v>0.12</v>
      </c>
      <c r="J52" s="3">
        <v>11269.676756036401</v>
      </c>
      <c r="K52" s="2">
        <v>1502623.56747152</v>
      </c>
      <c r="L52" s="2">
        <v>17.453994180794261</v>
      </c>
      <c r="M52">
        <v>1.264885126717705</v>
      </c>
      <c r="N52" t="s">
        <v>55</v>
      </c>
      <c r="O52">
        <v>1.4728374595397631</v>
      </c>
      <c r="P52">
        <v>33.648987842462112</v>
      </c>
      <c r="Q52">
        <v>2347.09602847531</v>
      </c>
      <c r="R52">
        <v>310.99578732749228</v>
      </c>
      <c r="S52">
        <v>194638.07258694651</v>
      </c>
      <c r="T52">
        <v>0.1295321574880301</v>
      </c>
      <c r="U52">
        <v>116320.88160251619</v>
      </c>
      <c r="W52" t="s">
        <v>81</v>
      </c>
      <c r="X52">
        <f t="shared" si="1"/>
        <v>1344.7329042070889</v>
      </c>
      <c r="Y52">
        <f t="shared" si="2"/>
        <v>2005.2017942286104</v>
      </c>
      <c r="Z52">
        <f t="shared" si="0"/>
        <v>0.67062223267379428</v>
      </c>
    </row>
    <row r="53" spans="1:26" x14ac:dyDescent="0.25">
      <c r="A53" s="11">
        <v>45853</v>
      </c>
      <c r="B53" t="s">
        <v>40</v>
      </c>
      <c r="C53" s="2">
        <v>623.1126708984375</v>
      </c>
      <c r="D53" s="3">
        <v>8.99640143942423E-2</v>
      </c>
      <c r="E53" s="5">
        <v>59.762655916434163</v>
      </c>
      <c r="F53" s="5">
        <v>0.5976265591643416</v>
      </c>
      <c r="G53" s="5">
        <v>9.4870275146164627</v>
      </c>
      <c r="H53" s="6">
        <v>9.4870275146164626E-2</v>
      </c>
      <c r="I53" s="2">
        <v>0.12</v>
      </c>
      <c r="J53" s="3">
        <v>11220.715258547771</v>
      </c>
      <c r="K53" s="2">
        <v>1496095.3678063699</v>
      </c>
      <c r="L53" s="2">
        <v>13.431729337515961</v>
      </c>
      <c r="M53">
        <v>1.264885126717705</v>
      </c>
      <c r="N53" t="s">
        <v>55</v>
      </c>
      <c r="O53">
        <v>1.4727517938700081</v>
      </c>
      <c r="P53">
        <v>33.501580700985841</v>
      </c>
      <c r="Q53">
        <v>1806.2088400561399</v>
      </c>
      <c r="R53">
        <v>239.3130326036806</v>
      </c>
      <c r="S53">
        <v>149118.98292648431</v>
      </c>
      <c r="T53">
        <v>9.9672110572154249E-2</v>
      </c>
      <c r="U53">
        <v>89117.464672440998</v>
      </c>
      <c r="W53" t="s">
        <v>81</v>
      </c>
      <c r="X53">
        <f t="shared" si="1"/>
        <v>1344.7329042070892</v>
      </c>
      <c r="Y53">
        <f t="shared" si="2"/>
        <v>2014.0246932795089</v>
      </c>
      <c r="Z53">
        <f t="shared" si="0"/>
        <v>0.66768441752191832</v>
      </c>
    </row>
    <row r="54" spans="1:26" x14ac:dyDescent="0.25">
      <c r="A54" s="11">
        <v>45854</v>
      </c>
      <c r="B54" t="s">
        <v>40</v>
      </c>
      <c r="C54" s="2">
        <v>625.36590576171875</v>
      </c>
      <c r="D54" s="3">
        <v>8.99640143942423E-2</v>
      </c>
      <c r="E54" s="5">
        <v>59.762655916434163</v>
      </c>
      <c r="F54" s="5">
        <v>0.5976265591643416</v>
      </c>
      <c r="G54" s="5">
        <v>9.4870275146164627</v>
      </c>
      <c r="H54" s="6">
        <v>9.4870275146164626E-2</v>
      </c>
      <c r="I54" s="2">
        <v>0.12</v>
      </c>
      <c r="J54" s="3">
        <v>11251.378149430861</v>
      </c>
      <c r="K54" s="2">
        <v>1500183.7532574481</v>
      </c>
      <c r="L54" s="2">
        <v>15.113926991461099</v>
      </c>
      <c r="M54">
        <v>1.264885126717705</v>
      </c>
      <c r="N54" t="s">
        <v>55</v>
      </c>
      <c r="O54">
        <v>1.472667487972789</v>
      </c>
      <c r="P54">
        <v>33.622725612870958</v>
      </c>
      <c r="Q54">
        <v>2032.4194937201401</v>
      </c>
      <c r="R54">
        <v>269.26932217815778</v>
      </c>
      <c r="S54">
        <v>168391.85355778769</v>
      </c>
      <c r="T54">
        <v>0.1122474851445014</v>
      </c>
      <c r="U54">
        <v>100635.4440330464</v>
      </c>
      <c r="W54" t="s">
        <v>81</v>
      </c>
      <c r="X54">
        <f t="shared" si="1"/>
        <v>1344.7329042070892</v>
      </c>
      <c r="Y54">
        <f t="shared" si="2"/>
        <v>2006.7680286411016</v>
      </c>
      <c r="Z54">
        <f t="shared" si="0"/>
        <v>0.67009882807316068</v>
      </c>
    </row>
    <row r="55" spans="1:26" x14ac:dyDescent="0.25">
      <c r="A55" s="11">
        <v>45855</v>
      </c>
      <c r="B55" t="s">
        <v>40</v>
      </c>
      <c r="C55" s="2">
        <v>629.0347900390625</v>
      </c>
      <c r="D55" s="3">
        <v>8.99640143942423E-2</v>
      </c>
      <c r="E55" s="5">
        <v>59.762655916434163</v>
      </c>
      <c r="F55" s="5">
        <v>0.5976265591643416</v>
      </c>
      <c r="G55" s="5">
        <v>9.4870275146164627</v>
      </c>
      <c r="H55" s="6">
        <v>9.4870275146164626E-2</v>
      </c>
      <c r="I55" s="2">
        <v>0.12</v>
      </c>
      <c r="J55" s="3">
        <v>11272.908619706661</v>
      </c>
      <c r="K55" s="2">
        <v>1503054.482627555</v>
      </c>
      <c r="L55" s="2">
        <v>17.98251390999696</v>
      </c>
      <c r="M55">
        <v>1.264885126717705</v>
      </c>
      <c r="N55" t="s">
        <v>55</v>
      </c>
      <c r="O55">
        <v>1.472584520264415</v>
      </c>
      <c r="P55">
        <v>33.819982751813093</v>
      </c>
      <c r="Q55">
        <v>2418.1678155134591</v>
      </c>
      <c r="R55">
        <v>320.35794112506881</v>
      </c>
      <c r="S55">
        <v>201516.29023295399</v>
      </c>
      <c r="T55">
        <v>0.13407118142562241</v>
      </c>
      <c r="U55">
        <v>120431.4871474831</v>
      </c>
      <c r="W55" t="s">
        <v>81</v>
      </c>
      <c r="X55">
        <f t="shared" si="1"/>
        <v>1344.7329042070892</v>
      </c>
      <c r="Y55">
        <f t="shared" si="2"/>
        <v>1995.0634301274004</v>
      </c>
      <c r="Z55">
        <f t="shared" si="0"/>
        <v>0.67403015057081039</v>
      </c>
    </row>
    <row r="56" spans="1:26" x14ac:dyDescent="0.25">
      <c r="A56" s="11">
        <v>45856</v>
      </c>
      <c r="B56" t="s">
        <v>40</v>
      </c>
      <c r="C56" s="2">
        <v>628.77557373046875</v>
      </c>
      <c r="D56" s="3">
        <v>8.99640143942423E-2</v>
      </c>
      <c r="E56" s="5">
        <v>59.762655916434163</v>
      </c>
      <c r="F56" s="5">
        <v>0.5976265591643416</v>
      </c>
      <c r="G56" s="5">
        <v>9.4870275146164627</v>
      </c>
      <c r="H56" s="6">
        <v>9.4870275146164626E-2</v>
      </c>
      <c r="I56" s="2">
        <v>0.12</v>
      </c>
      <c r="J56" s="3">
        <v>11280.965441551451</v>
      </c>
      <c r="K56" s="2">
        <v>1504128.725540193</v>
      </c>
      <c r="L56" s="2">
        <v>18.762552052806249</v>
      </c>
      <c r="M56">
        <v>1.264885126717705</v>
      </c>
      <c r="N56" t="s">
        <v>55</v>
      </c>
      <c r="O56">
        <v>1.4725028695037929</v>
      </c>
      <c r="P56">
        <v>33.806046016954447</v>
      </c>
      <c r="Q56">
        <v>2523.062111230684</v>
      </c>
      <c r="R56">
        <v>334.23576355311189</v>
      </c>
      <c r="S56">
        <v>210159.28398934921</v>
      </c>
      <c r="T56">
        <v>0.13972160787892179</v>
      </c>
      <c r="U56">
        <v>125596.7697669965</v>
      </c>
      <c r="W56" t="s">
        <v>81</v>
      </c>
      <c r="X56">
        <f t="shared" si="1"/>
        <v>1344.7329042070896</v>
      </c>
      <c r="Y56">
        <f t="shared" si="2"/>
        <v>1995.8859063802545</v>
      </c>
      <c r="Z56">
        <f t="shared" si="0"/>
        <v>0.67375239231279604</v>
      </c>
    </row>
    <row r="57" spans="1:26" x14ac:dyDescent="0.25">
      <c r="A57" s="11">
        <v>45859</v>
      </c>
      <c r="B57" t="s">
        <v>40</v>
      </c>
      <c r="C57" s="2">
        <v>629.8323974609375</v>
      </c>
      <c r="D57" s="3">
        <v>8.99640143942423E-2</v>
      </c>
      <c r="E57" s="5">
        <v>59.762655916434163</v>
      </c>
      <c r="F57" s="5">
        <v>0.5976265591643416</v>
      </c>
      <c r="G57" s="5">
        <v>9.4870275146164627</v>
      </c>
      <c r="H57" s="6">
        <v>9.4870275146164626E-2</v>
      </c>
      <c r="I57" s="2">
        <v>0.12</v>
      </c>
      <c r="J57" s="3">
        <v>11309.40240957393</v>
      </c>
      <c r="K57" s="2">
        <v>1507920.3212765241</v>
      </c>
      <c r="L57" s="2">
        <v>19.389373236773569</v>
      </c>
      <c r="M57">
        <v>1.264885126717705</v>
      </c>
      <c r="N57" t="s">
        <v>55</v>
      </c>
      <c r="O57">
        <v>1.47242251478699</v>
      </c>
      <c r="P57">
        <v>33.862866022623678</v>
      </c>
      <c r="Q57">
        <v>2607.3528183441731</v>
      </c>
      <c r="R57">
        <v>345.38309616959617</v>
      </c>
      <c r="S57">
        <v>217533.46350297829</v>
      </c>
      <c r="T57">
        <v>0.14426058222945509</v>
      </c>
      <c r="U57">
        <v>130003.7752963868</v>
      </c>
      <c r="W57" t="s">
        <v>81</v>
      </c>
      <c r="X57">
        <f t="shared" si="1"/>
        <v>1344.7329042070894</v>
      </c>
      <c r="Y57">
        <f t="shared" si="2"/>
        <v>1992.5369208443026</v>
      </c>
      <c r="Z57">
        <f t="shared" si="0"/>
        <v>0.67488481148810153</v>
      </c>
    </row>
    <row r="58" spans="1:26" x14ac:dyDescent="0.25">
      <c r="A58" s="11">
        <v>45860</v>
      </c>
      <c r="B58" t="s">
        <v>40</v>
      </c>
      <c r="C58" s="2">
        <v>629.8424072265625</v>
      </c>
      <c r="D58" s="3">
        <v>8.99640143942423E-2</v>
      </c>
      <c r="E58" s="5">
        <v>59.762655916434163</v>
      </c>
      <c r="F58" s="5">
        <v>0.5976265591643416</v>
      </c>
      <c r="G58" s="5">
        <v>9.4870275146164627</v>
      </c>
      <c r="H58" s="6">
        <v>9.4870275146164626E-2</v>
      </c>
      <c r="I58" s="2">
        <v>0.12</v>
      </c>
      <c r="J58" s="3">
        <v>11343.2299223195</v>
      </c>
      <c r="K58" s="2">
        <v>1512430.656309267</v>
      </c>
      <c r="L58" s="2">
        <v>19.602698810170299</v>
      </c>
      <c r="M58">
        <v>1.264885126717705</v>
      </c>
      <c r="N58" t="s">
        <v>55</v>
      </c>
      <c r="O58">
        <v>1.4723434355418821</v>
      </c>
      <c r="P58">
        <v>33.863404196515077</v>
      </c>
      <c r="Q58">
        <v>2636.0394101297152</v>
      </c>
      <c r="R58">
        <v>349.16431316791648</v>
      </c>
      <c r="S58">
        <v>219918.49152328991</v>
      </c>
      <c r="T58">
        <v>0.14540732205200699</v>
      </c>
      <c r="U58">
        <v>131429.13138567621</v>
      </c>
      <c r="W58" t="s">
        <v>81</v>
      </c>
      <c r="X58">
        <f t="shared" si="1"/>
        <v>1344.7329042070889</v>
      </c>
      <c r="Y58">
        <f t="shared" si="2"/>
        <v>1992.5052544665739</v>
      </c>
      <c r="Z58">
        <f t="shared" si="0"/>
        <v>0.67489553726024976</v>
      </c>
    </row>
    <row r="59" spans="1:26" x14ac:dyDescent="0.25">
      <c r="A59" s="11">
        <v>45861</v>
      </c>
      <c r="B59" t="s">
        <v>40</v>
      </c>
      <c r="C59" s="2">
        <v>635.4156494140625</v>
      </c>
      <c r="D59" s="3">
        <v>8.99640143942423E-2</v>
      </c>
      <c r="E59" s="5">
        <v>59.762655916434163</v>
      </c>
      <c r="F59" s="5">
        <v>0.5976265591643416</v>
      </c>
      <c r="G59" s="5">
        <v>9.4870275146164627</v>
      </c>
      <c r="H59" s="6">
        <v>9.4870275146164626E-2</v>
      </c>
      <c r="I59" s="2">
        <v>0.12</v>
      </c>
      <c r="J59" s="3">
        <v>11377.20379964749</v>
      </c>
      <c r="K59" s="2">
        <v>1516960.506619666</v>
      </c>
      <c r="L59" s="2">
        <v>19.963698860579399</v>
      </c>
      <c r="M59">
        <v>1.264885126717705</v>
      </c>
      <c r="N59" t="s">
        <v>55</v>
      </c>
      <c r="O59">
        <v>1.472265611522888</v>
      </c>
      <c r="P59">
        <v>34.163048918297839</v>
      </c>
      <c r="Q59">
        <v>2684.5842747502688</v>
      </c>
      <c r="R59">
        <v>355.57566951073801</v>
      </c>
      <c r="S59">
        <v>225938.34495800559</v>
      </c>
      <c r="T59">
        <v>0.1489414813187705</v>
      </c>
      <c r="U59">
        <v>135026.755680539</v>
      </c>
      <c r="W59" t="s">
        <v>81</v>
      </c>
      <c r="X59">
        <f t="shared" si="1"/>
        <v>1344.7329042070889</v>
      </c>
      <c r="Y59">
        <f t="shared" si="2"/>
        <v>1975.0289547354471</v>
      </c>
      <c r="Z59">
        <f t="shared" si="0"/>
        <v>0.68086743790913906</v>
      </c>
    </row>
    <row r="60" spans="1:26" x14ac:dyDescent="0.25">
      <c r="A60" s="11">
        <v>45862</v>
      </c>
      <c r="B60" t="s">
        <v>40</v>
      </c>
      <c r="C60" s="2">
        <v>635.66485595703125</v>
      </c>
      <c r="D60" s="3">
        <v>8.99640143942423E-2</v>
      </c>
      <c r="E60" s="5">
        <v>59.762655916434163</v>
      </c>
      <c r="F60" s="5">
        <v>0.5976265591643416</v>
      </c>
      <c r="G60" s="5">
        <v>9.4870275146164627</v>
      </c>
      <c r="H60" s="6">
        <v>9.4870275146164626E-2</v>
      </c>
      <c r="I60" s="2">
        <v>0.12</v>
      </c>
      <c r="J60" s="3">
        <v>11329.19438804283</v>
      </c>
      <c r="K60" s="2">
        <v>1510559.251739044</v>
      </c>
      <c r="L60" s="2">
        <v>20</v>
      </c>
      <c r="M60">
        <v>1.264885126717705</v>
      </c>
      <c r="N60" t="s">
        <v>55</v>
      </c>
      <c r="O60">
        <v>1.472189022805781</v>
      </c>
      <c r="P60">
        <v>34.176447479265057</v>
      </c>
      <c r="Q60">
        <v>2689.4658084141779</v>
      </c>
      <c r="R60">
        <v>356.20370212487398</v>
      </c>
      <c r="S60">
        <v>226426.1750025693</v>
      </c>
      <c r="T60">
        <v>0.14989559313340031</v>
      </c>
      <c r="U60">
        <v>135318.29587152859</v>
      </c>
      <c r="W60" t="s">
        <v>81</v>
      </c>
      <c r="X60">
        <f t="shared" si="1"/>
        <v>1344.7329042070889</v>
      </c>
      <c r="Y60">
        <f t="shared" si="2"/>
        <v>1974.2546628527666</v>
      </c>
      <c r="Z60">
        <f t="shared" si="0"/>
        <v>0.6811344703950053</v>
      </c>
    </row>
    <row r="61" spans="1:26" x14ac:dyDescent="0.25">
      <c r="A61" s="11">
        <v>45863</v>
      </c>
      <c r="B61" t="s">
        <v>40</v>
      </c>
      <c r="C61" s="2">
        <v>638.13739013671875</v>
      </c>
      <c r="D61" s="3">
        <v>8.99640143942423E-2</v>
      </c>
      <c r="E61" s="5">
        <v>59.762655916434163</v>
      </c>
      <c r="F61" s="5">
        <v>0.5976265591643416</v>
      </c>
      <c r="G61" s="5">
        <v>9.4870275146164627</v>
      </c>
      <c r="H61" s="6">
        <v>9.4870275146164626E-2</v>
      </c>
      <c r="I61" s="2">
        <v>0.12</v>
      </c>
      <c r="J61" s="3">
        <v>11315.49267645128</v>
      </c>
      <c r="K61" s="2">
        <v>1508732.3568601711</v>
      </c>
      <c r="L61" s="2">
        <v>20</v>
      </c>
      <c r="M61">
        <v>1.264885126717705</v>
      </c>
      <c r="N61" t="s">
        <v>55</v>
      </c>
      <c r="O61">
        <v>1.472113649782598</v>
      </c>
      <c r="P61">
        <v>34.309382993539408</v>
      </c>
      <c r="Q61">
        <v>2689.4658084141779</v>
      </c>
      <c r="R61">
        <v>356.18546523486748</v>
      </c>
      <c r="S61">
        <v>227295.26318961129</v>
      </c>
      <c r="T61">
        <v>0.15065313748731179</v>
      </c>
      <c r="U61">
        <v>135837.68605436079</v>
      </c>
      <c r="W61" t="s">
        <v>81</v>
      </c>
      <c r="X61">
        <f t="shared" si="1"/>
        <v>1344.7329042070889</v>
      </c>
      <c r="Y61">
        <f t="shared" si="2"/>
        <v>1966.6051939315598</v>
      </c>
      <c r="Z61">
        <f t="shared" si="0"/>
        <v>0.68378386691776794</v>
      </c>
    </row>
    <row r="62" spans="1:26" x14ac:dyDescent="0.25">
      <c r="A62" s="11">
        <v>45866</v>
      </c>
      <c r="B62" t="s">
        <v>40</v>
      </c>
      <c r="C62" s="2">
        <v>637.997802734375</v>
      </c>
      <c r="D62" s="3">
        <v>8.99640143942423E-2</v>
      </c>
      <c r="E62" s="5">
        <v>59.762655916434163</v>
      </c>
      <c r="F62" s="5">
        <v>0.5976265591643416</v>
      </c>
      <c r="G62" s="5">
        <v>9.4870275146164627</v>
      </c>
      <c r="H62" s="6">
        <v>9.4870275146164626E-2</v>
      </c>
      <c r="I62" s="2">
        <v>0.12</v>
      </c>
      <c r="J62" s="3">
        <v>11205.198948761879</v>
      </c>
      <c r="K62" s="2">
        <v>1494026.526501585</v>
      </c>
      <c r="L62" s="2">
        <v>20</v>
      </c>
      <c r="M62">
        <v>1.264885126717705</v>
      </c>
      <c r="N62" t="s">
        <v>55</v>
      </c>
      <c r="O62">
        <v>1.472039473156608</v>
      </c>
      <c r="P62">
        <v>34.301878092992737</v>
      </c>
      <c r="Q62">
        <v>2689.4658084141779</v>
      </c>
      <c r="R62">
        <v>356.16751781930549</v>
      </c>
      <c r="S62">
        <v>227234.09377407329</v>
      </c>
      <c r="T62">
        <v>0.15209508649499359</v>
      </c>
      <c r="U62">
        <v>135801.12958702669</v>
      </c>
      <c r="W62" t="s">
        <v>81</v>
      </c>
      <c r="X62">
        <f t="shared" si="1"/>
        <v>1344.7329042070889</v>
      </c>
      <c r="Y62">
        <f t="shared" si="2"/>
        <v>1967.0354670598999</v>
      </c>
      <c r="Z62">
        <f t="shared" si="0"/>
        <v>0.68363429471713699</v>
      </c>
    </row>
    <row r="63" spans="1:26" x14ac:dyDescent="0.25">
      <c r="A63" s="11">
        <v>45867</v>
      </c>
      <c r="B63" t="s">
        <v>40</v>
      </c>
      <c r="C63" s="2">
        <v>636.482421875</v>
      </c>
      <c r="D63" s="3">
        <v>8.99640143942423E-2</v>
      </c>
      <c r="E63" s="5">
        <v>59.762655916434163</v>
      </c>
      <c r="F63" s="5">
        <v>0.5976265591643416</v>
      </c>
      <c r="G63" s="5">
        <v>9.4870275146164627</v>
      </c>
      <c r="H63" s="6">
        <v>9.4870275146164626E-2</v>
      </c>
      <c r="I63" s="2">
        <v>0.12</v>
      </c>
      <c r="J63" s="3">
        <v>11226.504254875919</v>
      </c>
      <c r="K63" s="2">
        <v>1496867.233983455</v>
      </c>
      <c r="L63" s="2">
        <v>19.26044716671273</v>
      </c>
      <c r="M63">
        <v>1.264885126717705</v>
      </c>
      <c r="N63" t="s">
        <v>55</v>
      </c>
      <c r="O63">
        <v>1.471966473937379</v>
      </c>
      <c r="P63">
        <v>34.220403816310359</v>
      </c>
      <c r="Q63">
        <v>2590.0157054820811</v>
      </c>
      <c r="R63">
        <v>342.9802735558726</v>
      </c>
      <c r="S63">
        <v>218300.9151681918</v>
      </c>
      <c r="T63">
        <v>0.14583852877001691</v>
      </c>
      <c r="U63">
        <v>130462.4247943933</v>
      </c>
      <c r="W63" t="s">
        <v>81</v>
      </c>
      <c r="X63">
        <f t="shared" si="1"/>
        <v>1344.7329042070892</v>
      </c>
      <c r="Y63">
        <f t="shared" si="2"/>
        <v>1971.7187195646795</v>
      </c>
      <c r="Z63">
        <f t="shared" si="0"/>
        <v>0.68201051745554375</v>
      </c>
    </row>
    <row r="64" spans="1:26" x14ac:dyDescent="0.25">
      <c r="A64" s="11">
        <v>45868</v>
      </c>
      <c r="B64" t="s">
        <v>40</v>
      </c>
      <c r="C64" s="2">
        <v>635.5950927734375</v>
      </c>
      <c r="D64" s="3">
        <v>8.99640143942423E-2</v>
      </c>
      <c r="E64" s="5">
        <v>59.762655916434163</v>
      </c>
      <c r="F64" s="5">
        <v>0.5976265591643416</v>
      </c>
      <c r="G64" s="5">
        <v>9.4870275146164627</v>
      </c>
      <c r="H64" s="6">
        <v>9.4870275146164626E-2</v>
      </c>
      <c r="I64" s="2">
        <v>0.12</v>
      </c>
      <c r="J64" s="3">
        <v>11162.54311157974</v>
      </c>
      <c r="K64" s="2">
        <v>1488339.081543965</v>
      </c>
      <c r="L64" s="2">
        <v>17.68698985710127</v>
      </c>
      <c r="M64">
        <v>1.264885126717705</v>
      </c>
      <c r="N64" t="s">
        <v>55</v>
      </c>
      <c r="O64">
        <v>1.471894633435916</v>
      </c>
      <c r="P64">
        <v>34.172696669765777</v>
      </c>
      <c r="Q64">
        <v>2378.4277237221122</v>
      </c>
      <c r="R64">
        <v>314.94557197973148</v>
      </c>
      <c r="S64">
        <v>200177.86004104081</v>
      </c>
      <c r="T64">
        <v>0.13449748281378279</v>
      </c>
      <c r="U64">
        <v>119631.6057172084</v>
      </c>
      <c r="W64" t="s">
        <v>81</v>
      </c>
      <c r="X64">
        <f t="shared" si="1"/>
        <v>1344.7329042070892</v>
      </c>
      <c r="Y64">
        <f t="shared" si="2"/>
        <v>1974.4713578714529</v>
      </c>
      <c r="Z64">
        <f t="shared" si="0"/>
        <v>0.68105971699521473</v>
      </c>
    </row>
    <row r="65" spans="1:26" x14ac:dyDescent="0.25">
      <c r="A65" s="11">
        <v>45869</v>
      </c>
      <c r="B65" t="s">
        <v>40</v>
      </c>
      <c r="C65" s="2">
        <v>632.992919921875</v>
      </c>
      <c r="D65" s="3">
        <v>8.99640143942423E-2</v>
      </c>
      <c r="E65" s="5">
        <v>59.762655916434163</v>
      </c>
      <c r="F65" s="5">
        <v>0.5976265591643416</v>
      </c>
      <c r="G65" s="5">
        <v>9.4870275146164627</v>
      </c>
      <c r="H65" s="6">
        <v>9.4870275146164626E-2</v>
      </c>
      <c r="I65" s="2">
        <v>0.12</v>
      </c>
      <c r="J65" s="3">
        <v>11136.42494532511</v>
      </c>
      <c r="K65" s="2">
        <v>1484856.6593766811</v>
      </c>
      <c r="L65" s="2">
        <v>14.74452739696302</v>
      </c>
      <c r="M65">
        <v>1.264885126717705</v>
      </c>
      <c r="N65" t="s">
        <v>55</v>
      </c>
      <c r="O65">
        <v>1.471823933259873</v>
      </c>
      <c r="P65">
        <v>34.032791147288073</v>
      </c>
      <c r="Q65">
        <v>1982.7451147679069</v>
      </c>
      <c r="R65">
        <v>262.5376391385214</v>
      </c>
      <c r="S65">
        <v>166184.4667876882</v>
      </c>
      <c r="T65">
        <v>0.1119195349519123</v>
      </c>
      <c r="U65">
        <v>99316.251072886909</v>
      </c>
      <c r="W65" t="s">
        <v>81</v>
      </c>
      <c r="X65">
        <f t="shared" si="1"/>
        <v>1344.7329042070887</v>
      </c>
      <c r="Y65">
        <f t="shared" si="2"/>
        <v>1982.5882192168767</v>
      </c>
      <c r="Z65">
        <f t="shared" si="0"/>
        <v>0.67827140864291968</v>
      </c>
    </row>
    <row r="66" spans="1:26" x14ac:dyDescent="0.25">
      <c r="A66" s="11">
        <v>45870</v>
      </c>
      <c r="B66" t="s">
        <v>40</v>
      </c>
      <c r="C66" s="2">
        <v>622.77374267578125</v>
      </c>
      <c r="D66" s="3">
        <v>8.99640143942423E-2</v>
      </c>
      <c r="E66" s="5">
        <v>59.762655916434163</v>
      </c>
      <c r="F66" s="5">
        <v>0.5976265591643416</v>
      </c>
      <c r="G66" s="5">
        <v>9.4870275146164627</v>
      </c>
      <c r="H66" s="6">
        <v>9.4870275146164626E-2</v>
      </c>
      <c r="I66" s="2">
        <v>0.12</v>
      </c>
      <c r="J66" s="3">
        <v>11113.275823069111</v>
      </c>
      <c r="K66" s="2">
        <v>1481770.1097425481</v>
      </c>
      <c r="L66" s="2">
        <v>8.55775105350377</v>
      </c>
      <c r="M66">
        <v>1.264885126717705</v>
      </c>
      <c r="N66" t="s">
        <v>55</v>
      </c>
      <c r="O66">
        <v>1.471754355308847</v>
      </c>
      <c r="P66">
        <v>33.483358264284647</v>
      </c>
      <c r="Q66">
        <v>1150.78894276594</v>
      </c>
      <c r="R66">
        <v>152.37012940804439</v>
      </c>
      <c r="S66">
        <v>94892.115763440961</v>
      </c>
      <c r="T66">
        <v>6.4039701664604445E-2</v>
      </c>
      <c r="U66">
        <v>56710.048635529602</v>
      </c>
      <c r="W66" t="s">
        <v>81</v>
      </c>
      <c r="X66">
        <f t="shared" si="1"/>
        <v>1344.7329042070889</v>
      </c>
      <c r="Y66">
        <f t="shared" si="2"/>
        <v>2015.1207732246044</v>
      </c>
      <c r="Z66">
        <f t="shared" ref="Z66:Z100" si="3">X66/Y66</f>
        <v>0.6673212454930143</v>
      </c>
    </row>
    <row r="67" spans="1:26" x14ac:dyDescent="0.25">
      <c r="A67" s="11">
        <v>45873</v>
      </c>
      <c r="B67" t="s">
        <v>40</v>
      </c>
      <c r="C67" s="2">
        <v>632.26507568359375</v>
      </c>
      <c r="D67" s="3">
        <v>8.99640143942423E-2</v>
      </c>
      <c r="E67" s="5">
        <v>59.762655916434163</v>
      </c>
      <c r="F67" s="5">
        <v>0.5976265591643416</v>
      </c>
      <c r="G67" s="5">
        <v>9.4870275146164627</v>
      </c>
      <c r="H67" s="6">
        <v>9.4870275146164626E-2</v>
      </c>
      <c r="I67" s="2">
        <v>0.12</v>
      </c>
      <c r="J67" s="3">
        <v>11171.41837826457</v>
      </c>
      <c r="K67" s="2">
        <v>1489522.4504352759</v>
      </c>
      <c r="L67" s="2">
        <v>11.477577014361779</v>
      </c>
      <c r="M67">
        <v>1.264885126717705</v>
      </c>
      <c r="N67" t="s">
        <v>55</v>
      </c>
      <c r="O67">
        <v>1.4716858817697409</v>
      </c>
      <c r="P67">
        <v>33.993658685976747</v>
      </c>
      <c r="Q67">
        <v>1543.4275471783251</v>
      </c>
      <c r="R67">
        <v>204.34790858745279</v>
      </c>
      <c r="S67">
        <v>129202.04588883001</v>
      </c>
      <c r="T67">
        <v>8.6740583098343954E-2</v>
      </c>
      <c r="U67">
        <v>77214.574121534824</v>
      </c>
      <c r="W67" t="s">
        <v>81</v>
      </c>
      <c r="X67">
        <f t="shared" ref="X67:X101" si="4">Q67*10/L67</f>
        <v>1344.7329042070894</v>
      </c>
      <c r="Y67">
        <f t="shared" ref="Y67:Y101" si="5">(1000000*I67/16)/(C67*F67/100)</f>
        <v>1984.8705142031704</v>
      </c>
      <c r="Z67">
        <f t="shared" si="3"/>
        <v>0.67749150112541956</v>
      </c>
    </row>
    <row r="68" spans="1:26" x14ac:dyDescent="0.25">
      <c r="A68" s="11">
        <v>45874</v>
      </c>
      <c r="B68" t="s">
        <v>40</v>
      </c>
      <c r="C68" s="2">
        <v>629.2242431640625</v>
      </c>
      <c r="D68" s="3">
        <v>8.99640143942423E-2</v>
      </c>
      <c r="E68" s="5">
        <v>59.762655916434163</v>
      </c>
      <c r="F68" s="5">
        <v>0.5976265591643416</v>
      </c>
      <c r="G68" s="5">
        <v>9.4870275146164627</v>
      </c>
      <c r="H68" s="6">
        <v>9.4870275146164626E-2</v>
      </c>
      <c r="I68" s="2">
        <v>0.12</v>
      </c>
      <c r="J68" s="3">
        <v>11169.185811259589</v>
      </c>
      <c r="K68" s="2">
        <v>1489224.7748346119</v>
      </c>
      <c r="L68" s="2">
        <v>10.637537537357851</v>
      </c>
      <c r="M68">
        <v>1.264885126717705</v>
      </c>
      <c r="N68" t="s">
        <v>55</v>
      </c>
      <c r="O68">
        <v>1.4716184951122091</v>
      </c>
      <c r="P68">
        <v>33.830168677172438</v>
      </c>
      <c r="Q68">
        <v>1430.464674622315</v>
      </c>
      <c r="R68">
        <v>189.38309121118411</v>
      </c>
      <c r="S68">
        <v>119164.4322354279</v>
      </c>
      <c r="T68">
        <v>8.0017761085570085E-2</v>
      </c>
      <c r="U68">
        <v>71215.829611631139</v>
      </c>
      <c r="W68" t="s">
        <v>81</v>
      </c>
      <c r="X68">
        <f t="shared" si="4"/>
        <v>1344.7329042070892</v>
      </c>
      <c r="Y68">
        <f t="shared" si="5"/>
        <v>1994.4627364867513</v>
      </c>
      <c r="Z68">
        <f t="shared" si="3"/>
        <v>0.6742331554290345</v>
      </c>
    </row>
    <row r="69" spans="1:26" x14ac:dyDescent="0.25">
      <c r="A69" s="11">
        <v>45875</v>
      </c>
      <c r="B69" t="s">
        <v>40</v>
      </c>
      <c r="C69" s="2">
        <v>633.88018798828125</v>
      </c>
      <c r="D69" s="3">
        <v>8.99640143942423E-2</v>
      </c>
      <c r="E69" s="5">
        <v>59.762655916434163</v>
      </c>
      <c r="F69" s="5">
        <v>0.5976265591643416</v>
      </c>
      <c r="G69" s="5">
        <v>9.4870275146164627</v>
      </c>
      <c r="H69" s="6">
        <v>9.4870275146164626E-2</v>
      </c>
      <c r="I69" s="2">
        <v>0.12</v>
      </c>
      <c r="J69" s="3">
        <v>11189.64582603648</v>
      </c>
      <c r="K69" s="2">
        <v>1491952.776804863</v>
      </c>
      <c r="L69" s="2">
        <v>12.988885416598571</v>
      </c>
      <c r="M69">
        <v>1.264885126717705</v>
      </c>
      <c r="N69" t="s">
        <v>55</v>
      </c>
      <c r="O69">
        <v>1.4715521780841621</v>
      </c>
      <c r="P69">
        <v>34.080495012284523</v>
      </c>
      <c r="Q69">
        <v>1746.6581608675699</v>
      </c>
      <c r="R69">
        <v>231.23438212159931</v>
      </c>
      <c r="S69">
        <v>146574.89360859341</v>
      </c>
      <c r="T69">
        <v>9.8243654817611131E-2</v>
      </c>
      <c r="U69">
        <v>87597.049327183136</v>
      </c>
      <c r="W69" t="s">
        <v>81</v>
      </c>
      <c r="X69">
        <f t="shared" si="4"/>
        <v>1344.7329042070889</v>
      </c>
      <c r="Y69">
        <f t="shared" si="5"/>
        <v>1979.8131092685326</v>
      </c>
      <c r="Z69">
        <f t="shared" si="3"/>
        <v>0.67922214370219913</v>
      </c>
    </row>
    <row r="70" spans="1:26" x14ac:dyDescent="0.25">
      <c r="A70" s="11">
        <v>45876</v>
      </c>
      <c r="B70" t="s">
        <v>40</v>
      </c>
      <c r="C70" s="2">
        <v>633.53131103515625</v>
      </c>
      <c r="D70" s="3">
        <v>8.99640143942423E-2</v>
      </c>
      <c r="E70" s="5">
        <v>59.762655916434163</v>
      </c>
      <c r="F70" s="5">
        <v>0.5976265591643416</v>
      </c>
      <c r="G70" s="5">
        <v>9.4870275146164627</v>
      </c>
      <c r="H70" s="6">
        <v>9.4870275146164626E-2</v>
      </c>
      <c r="I70" s="2">
        <v>0.12</v>
      </c>
      <c r="J70" s="3">
        <v>11204.753490870909</v>
      </c>
      <c r="K70" s="2">
        <v>1493967.132116121</v>
      </c>
      <c r="L70" s="2">
        <v>13.71070110420257</v>
      </c>
      <c r="M70">
        <v>1.264885126717705</v>
      </c>
      <c r="N70" t="s">
        <v>55</v>
      </c>
      <c r="O70">
        <v>1.471486913707353</v>
      </c>
      <c r="P70">
        <v>34.061737683240032</v>
      </c>
      <c r="Q70">
        <v>1843.7230914569659</v>
      </c>
      <c r="R70">
        <v>244.07366665993069</v>
      </c>
      <c r="S70">
        <v>154628.31002822361</v>
      </c>
      <c r="T70">
        <v>0.10350181520339161</v>
      </c>
      <c r="U70">
        <v>92409.984871564317</v>
      </c>
      <c r="W70" t="s">
        <v>81</v>
      </c>
      <c r="X70">
        <f t="shared" si="4"/>
        <v>1344.7329042070887</v>
      </c>
      <c r="Y70">
        <f t="shared" si="5"/>
        <v>1980.9033650353549</v>
      </c>
      <c r="Z70">
        <f t="shared" si="3"/>
        <v>0.67884831130219625</v>
      </c>
    </row>
    <row r="71" spans="1:26" x14ac:dyDescent="0.25">
      <c r="A71" s="11">
        <v>45877</v>
      </c>
      <c r="B71" t="s">
        <v>40</v>
      </c>
      <c r="C71" s="2">
        <v>638.32684326171875</v>
      </c>
      <c r="D71" s="3">
        <v>8.99640143942423E-2</v>
      </c>
      <c r="E71" s="5">
        <v>59.762655916434163</v>
      </c>
      <c r="F71" s="5">
        <v>0.5976265591643416</v>
      </c>
      <c r="G71" s="5">
        <v>9.4870275146164627</v>
      </c>
      <c r="H71" s="6">
        <v>9.4870275146164626E-2</v>
      </c>
      <c r="I71" s="2">
        <v>0.12</v>
      </c>
      <c r="J71" s="3">
        <v>11210.91151281597</v>
      </c>
      <c r="K71" s="2">
        <v>1494788.201708796</v>
      </c>
      <c r="L71" s="2">
        <v>16.767593480674918</v>
      </c>
      <c r="M71">
        <v>1.264885126717705</v>
      </c>
      <c r="N71" t="s">
        <v>55</v>
      </c>
      <c r="O71">
        <v>1.471422685273033</v>
      </c>
      <c r="P71">
        <v>34.319568918898767</v>
      </c>
      <c r="Q71">
        <v>2254.793467783184</v>
      </c>
      <c r="R71">
        <v>298.47849190371352</v>
      </c>
      <c r="S71">
        <v>190526.83351841589</v>
      </c>
      <c r="T71">
        <v>0.12746075551078839</v>
      </c>
      <c r="U71">
        <v>113863.8959440882</v>
      </c>
      <c r="W71" t="s">
        <v>81</v>
      </c>
      <c r="X71">
        <f t="shared" si="4"/>
        <v>1344.7329042070892</v>
      </c>
      <c r="Y71">
        <f t="shared" si="5"/>
        <v>1966.0215125408042</v>
      </c>
      <c r="Z71">
        <f t="shared" si="3"/>
        <v>0.68398687177599216</v>
      </c>
    </row>
    <row r="72" spans="1:26" x14ac:dyDescent="0.25">
      <c r="A72" s="11">
        <v>45880</v>
      </c>
      <c r="B72" t="s">
        <v>40</v>
      </c>
      <c r="C72" s="2">
        <v>637.06060791015625</v>
      </c>
      <c r="D72" s="3">
        <v>8.99640143942423E-2</v>
      </c>
      <c r="E72" s="5">
        <v>59.762655916434163</v>
      </c>
      <c r="F72" s="5">
        <v>0.5976265591643416</v>
      </c>
      <c r="G72" s="5">
        <v>9.4870275146164627</v>
      </c>
      <c r="H72" s="6">
        <v>9.4870275146164626E-2</v>
      </c>
      <c r="I72" s="2">
        <v>0.12</v>
      </c>
      <c r="J72" s="3">
        <v>11188.88394064748</v>
      </c>
      <c r="K72" s="2">
        <v>1491851.1920863311</v>
      </c>
      <c r="L72" s="2">
        <v>17.298987335517381</v>
      </c>
      <c r="M72">
        <v>1.264885126717705</v>
      </c>
      <c r="N72" t="s">
        <v>55</v>
      </c>
      <c r="O72">
        <v>1.4713594763376709</v>
      </c>
      <c r="P72">
        <v>34.251489921635482</v>
      </c>
      <c r="Q72">
        <v>2326.2517479531939</v>
      </c>
      <c r="R72">
        <v>307.92455998986759</v>
      </c>
      <c r="S72">
        <v>196166.6073776125</v>
      </c>
      <c r="T72">
        <v>0.13149207402065119</v>
      </c>
      <c r="U72">
        <v>117234.37459002491</v>
      </c>
      <c r="W72" t="s">
        <v>81</v>
      </c>
      <c r="X72">
        <f t="shared" si="4"/>
        <v>1344.7329042070889</v>
      </c>
      <c r="Y72">
        <f t="shared" si="5"/>
        <v>1969.9292191392046</v>
      </c>
      <c r="Z72">
        <f t="shared" si="3"/>
        <v>0.68263006159921513</v>
      </c>
    </row>
    <row r="73" spans="1:26" x14ac:dyDescent="0.25">
      <c r="A73" s="11">
        <v>45881</v>
      </c>
      <c r="B73" t="s">
        <v>40</v>
      </c>
      <c r="C73" s="2">
        <v>643.80035400390625</v>
      </c>
      <c r="D73" s="3">
        <v>8.99640143942423E-2</v>
      </c>
      <c r="E73" s="5">
        <v>59.762655916434163</v>
      </c>
      <c r="F73" s="5">
        <v>0.5976265591643416</v>
      </c>
      <c r="G73" s="5">
        <v>9.4870275146164627</v>
      </c>
      <c r="H73" s="6">
        <v>9.4870275146164626E-2</v>
      </c>
      <c r="I73" s="2">
        <v>0.12</v>
      </c>
      <c r="J73" s="3">
        <v>11282.801685619481</v>
      </c>
      <c r="K73" s="2">
        <v>1504373.5580825971</v>
      </c>
      <c r="L73" s="2">
        <v>18.638433723685889</v>
      </c>
      <c r="M73">
        <v>1.264885126717705</v>
      </c>
      <c r="N73" t="s">
        <v>55</v>
      </c>
      <c r="O73">
        <v>1.4712972707187431</v>
      </c>
      <c r="P73">
        <v>34.61385159105614</v>
      </c>
      <c r="Q73">
        <v>2506.3715111123479</v>
      </c>
      <c r="R73">
        <v>331.75287956168881</v>
      </c>
      <c r="S73">
        <v>213582.6213036305</v>
      </c>
      <c r="T73">
        <v>0.1419744585087315</v>
      </c>
      <c r="U73">
        <v>127642.6470669893</v>
      </c>
      <c r="W73" t="s">
        <v>81</v>
      </c>
      <c r="X73">
        <f t="shared" si="4"/>
        <v>1344.7329042070892</v>
      </c>
      <c r="Y73">
        <f t="shared" si="5"/>
        <v>1949.3066415387318</v>
      </c>
      <c r="Z73">
        <f t="shared" si="3"/>
        <v>0.68985190710969524</v>
      </c>
    </row>
    <row r="74" spans="1:26" x14ac:dyDescent="0.25">
      <c r="A74" s="11">
        <v>45882</v>
      </c>
      <c r="B74" t="s">
        <v>40</v>
      </c>
      <c r="C74" s="2">
        <v>646.1632080078125</v>
      </c>
      <c r="D74" s="3">
        <v>8.99640143942423E-2</v>
      </c>
      <c r="E74" s="5">
        <v>59.762655916434163</v>
      </c>
      <c r="F74" s="5">
        <v>0.5976265591643416</v>
      </c>
      <c r="G74" s="5">
        <v>9.4870275146164627</v>
      </c>
      <c r="H74" s="6">
        <v>9.4870275146164626E-2</v>
      </c>
      <c r="I74" s="2">
        <v>0.12</v>
      </c>
      <c r="J74" s="3">
        <v>11366.05075857976</v>
      </c>
      <c r="K74" s="2">
        <v>1515473.4344773011</v>
      </c>
      <c r="L74" s="2">
        <v>19.50520186851892</v>
      </c>
      <c r="M74">
        <v>1.264885126717705</v>
      </c>
      <c r="N74" t="s">
        <v>55</v>
      </c>
      <c r="O74">
        <v>1.4712360524905921</v>
      </c>
      <c r="P74">
        <v>34.740890163361811</v>
      </c>
      <c r="Q74">
        <v>2622.9286755798989</v>
      </c>
      <c r="R74">
        <v>347.16638418183709</v>
      </c>
      <c r="S74">
        <v>224326.14451540861</v>
      </c>
      <c r="T74">
        <v>0.1480238052426042</v>
      </c>
      <c r="U74">
        <v>134063.26187734649</v>
      </c>
      <c r="W74" t="s">
        <v>81</v>
      </c>
      <c r="X74">
        <f t="shared" si="4"/>
        <v>1344.7329042070892</v>
      </c>
      <c r="Y74">
        <f t="shared" si="5"/>
        <v>1942.1785244535743</v>
      </c>
      <c r="Z74">
        <f t="shared" si="3"/>
        <v>0.6923837779461729</v>
      </c>
    </row>
    <row r="75" spans="1:26" x14ac:dyDescent="0.25">
      <c r="A75" s="11">
        <v>45883</v>
      </c>
      <c r="B75" t="s">
        <v>40</v>
      </c>
      <c r="C75" s="2">
        <v>646.18316650390625</v>
      </c>
      <c r="D75" s="3">
        <v>8.99640143942423E-2</v>
      </c>
      <c r="E75" s="5">
        <v>59.762655916434163</v>
      </c>
      <c r="F75" s="5">
        <v>0.5976265591643416</v>
      </c>
      <c r="G75" s="5">
        <v>9.4870275146164627</v>
      </c>
      <c r="H75" s="6">
        <v>9.4870275146164626E-2</v>
      </c>
      <c r="I75" s="2">
        <v>0.12</v>
      </c>
      <c r="J75" s="3">
        <v>11286.78552473166</v>
      </c>
      <c r="K75" s="2">
        <v>1504904.736630888</v>
      </c>
      <c r="L75" s="2">
        <v>19.92910497429596</v>
      </c>
      <c r="M75">
        <v>1.264885126717705</v>
      </c>
      <c r="N75" t="s">
        <v>55</v>
      </c>
      <c r="O75">
        <v>1.4711758059803479</v>
      </c>
      <c r="P75">
        <v>34.741963229596507</v>
      </c>
      <c r="Q75">
        <v>2679.9323210332959</v>
      </c>
      <c r="R75">
        <v>354.69676458655749</v>
      </c>
      <c r="S75">
        <v>229199.07848923231</v>
      </c>
      <c r="T75">
        <v>0.1523013868654256</v>
      </c>
      <c r="U75">
        <v>136975.4566411578</v>
      </c>
      <c r="W75" t="s">
        <v>81</v>
      </c>
      <c r="X75">
        <f t="shared" si="4"/>
        <v>1344.7329042070894</v>
      </c>
      <c r="Y75">
        <f t="shared" si="5"/>
        <v>1942.1185368765168</v>
      </c>
      <c r="Z75">
        <f t="shared" si="3"/>
        <v>0.69240516408942021</v>
      </c>
    </row>
    <row r="76" spans="1:26" x14ac:dyDescent="0.25">
      <c r="A76" s="11">
        <v>45884</v>
      </c>
      <c r="B76" t="s">
        <v>40</v>
      </c>
      <c r="C76" s="2">
        <v>644.7275390625</v>
      </c>
      <c r="D76" s="3">
        <v>8.99640143942423E-2</v>
      </c>
      <c r="E76" s="5">
        <v>59.762655916434163</v>
      </c>
      <c r="F76" s="5">
        <v>0.5976265591643416</v>
      </c>
      <c r="G76" s="5">
        <v>9.4870275146164627</v>
      </c>
      <c r="H76" s="6">
        <v>9.4870275146164626E-2</v>
      </c>
      <c r="I76" s="2">
        <v>0.12</v>
      </c>
      <c r="J76" s="3">
        <v>11304.846858340659</v>
      </c>
      <c r="K76" s="2">
        <v>1507312.914445421</v>
      </c>
      <c r="L76" s="2">
        <v>19.325880753665171</v>
      </c>
      <c r="M76">
        <v>1.264885126717705</v>
      </c>
      <c r="N76" t="s">
        <v>55</v>
      </c>
      <c r="O76">
        <v>1.471116515763917</v>
      </c>
      <c r="P76">
        <v>34.663701588521988</v>
      </c>
      <c r="Q76">
        <v>2598.814775223605</v>
      </c>
      <c r="R76">
        <v>343.94676162733379</v>
      </c>
      <c r="S76">
        <v>221751.94919250719</v>
      </c>
      <c r="T76">
        <v>0.1471173948470384</v>
      </c>
      <c r="U76">
        <v>132524.85438390399</v>
      </c>
      <c r="W76" t="s">
        <v>81</v>
      </c>
      <c r="X76">
        <f t="shared" si="4"/>
        <v>1344.7329042070889</v>
      </c>
      <c r="Y76">
        <f t="shared" si="5"/>
        <v>1946.5033364475917</v>
      </c>
      <c r="Z76">
        <f t="shared" si="3"/>
        <v>0.69084541445546865</v>
      </c>
    </row>
    <row r="77" spans="1:26" x14ac:dyDescent="0.25">
      <c r="A77" s="11">
        <v>45887</v>
      </c>
      <c r="B77" t="s">
        <v>40</v>
      </c>
      <c r="C77" s="2">
        <v>644.428466796875</v>
      </c>
      <c r="D77" s="3">
        <v>8.99640143942423E-2</v>
      </c>
      <c r="E77" s="5">
        <v>59.762655916434163</v>
      </c>
      <c r="F77" s="5">
        <v>0.5976265591643416</v>
      </c>
      <c r="G77" s="5">
        <v>9.4870275146164627</v>
      </c>
      <c r="H77" s="6">
        <v>9.4870275146164626E-2</v>
      </c>
      <c r="I77" s="2">
        <v>0.12</v>
      </c>
      <c r="J77" s="3">
        <v>11299.209340815511</v>
      </c>
      <c r="K77" s="2">
        <v>1506561.245442068</v>
      </c>
      <c r="L77" s="2">
        <v>18.914363918662509</v>
      </c>
      <c r="M77">
        <v>1.264885126717705</v>
      </c>
      <c r="N77" t="s">
        <v>55</v>
      </c>
      <c r="O77">
        <v>1.471058166662033</v>
      </c>
      <c r="P77">
        <v>34.647622002742068</v>
      </c>
      <c r="Q77">
        <v>2543.4767523572818</v>
      </c>
      <c r="R77">
        <v>336.60955850178829</v>
      </c>
      <c r="S77">
        <v>216920.78169448051</v>
      </c>
      <c r="T77">
        <v>0.1439840446916778</v>
      </c>
      <c r="U77">
        <v>129637.6203753116</v>
      </c>
      <c r="W77" t="s">
        <v>81</v>
      </c>
      <c r="X77">
        <f t="shared" si="4"/>
        <v>1344.7329042070892</v>
      </c>
      <c r="Y77">
        <f t="shared" si="5"/>
        <v>1947.4066875453038</v>
      </c>
      <c r="Z77">
        <f t="shared" si="3"/>
        <v>0.69052494931200947</v>
      </c>
    </row>
    <row r="78" spans="1:26" x14ac:dyDescent="0.25">
      <c r="A78" s="11">
        <v>45888</v>
      </c>
      <c r="B78" t="s">
        <v>40</v>
      </c>
      <c r="C78" s="2">
        <v>641.01873779296875</v>
      </c>
      <c r="D78" s="3">
        <v>8.99640143942423E-2</v>
      </c>
      <c r="E78" s="5">
        <v>59.762655916434163</v>
      </c>
      <c r="F78" s="5">
        <v>0.5976265591643416</v>
      </c>
      <c r="G78" s="5">
        <v>9.4870275146164627</v>
      </c>
      <c r="H78" s="6">
        <v>9.4870275146164626E-2</v>
      </c>
      <c r="I78" s="2">
        <v>0.12</v>
      </c>
      <c r="J78" s="3">
        <v>11263.33814222997</v>
      </c>
      <c r="K78" s="2">
        <v>1501778.418963996</v>
      </c>
      <c r="L78" s="2">
        <v>16.081766247367039</v>
      </c>
      <c r="M78">
        <v>1.264885126717705</v>
      </c>
      <c r="N78" t="s">
        <v>55</v>
      </c>
      <c r="O78">
        <v>1.471000743736369</v>
      </c>
      <c r="P78">
        <v>34.464298317110462</v>
      </c>
      <c r="Q78">
        <v>2162.568023060142</v>
      </c>
      <c r="R78">
        <v>286.18805009113402</v>
      </c>
      <c r="S78">
        <v>183451.90264084961</v>
      </c>
      <c r="T78">
        <v>0.1221564382097088</v>
      </c>
      <c r="U78">
        <v>109635.7293474028</v>
      </c>
      <c r="W78" t="s">
        <v>81</v>
      </c>
      <c r="X78">
        <f t="shared" si="4"/>
        <v>1344.7329042070892</v>
      </c>
      <c r="Y78">
        <f t="shared" si="5"/>
        <v>1957.7654004400099</v>
      </c>
      <c r="Z78">
        <f t="shared" si="3"/>
        <v>0.68687131967132475</v>
      </c>
    </row>
    <row r="79" spans="1:26" x14ac:dyDescent="0.25">
      <c r="A79" s="11">
        <v>45889</v>
      </c>
      <c r="B79" t="s">
        <v>40</v>
      </c>
      <c r="C79" s="2">
        <v>639.30389404296875</v>
      </c>
      <c r="D79" s="3">
        <v>8.99640143942423E-2</v>
      </c>
      <c r="E79" s="5">
        <v>59.762655916434163</v>
      </c>
      <c r="F79" s="5">
        <v>0.5976265591643416</v>
      </c>
      <c r="G79" s="5">
        <v>9.4870275146164627</v>
      </c>
      <c r="H79" s="6">
        <v>9.4870275146164626E-2</v>
      </c>
      <c r="I79" s="2">
        <v>0.12</v>
      </c>
      <c r="J79" s="3">
        <v>11263.879115358841</v>
      </c>
      <c r="K79" s="2">
        <v>1501850.548714512</v>
      </c>
      <c r="L79" s="2">
        <v>13.75034792947009</v>
      </c>
      <c r="M79">
        <v>1.264885126717705</v>
      </c>
      <c r="N79" t="s">
        <v>55</v>
      </c>
      <c r="O79">
        <v>1.470944232285716</v>
      </c>
      <c r="P79">
        <v>34.372099941177311</v>
      </c>
      <c r="Q79">
        <v>1849.054530505425</v>
      </c>
      <c r="R79">
        <v>244.689173031905</v>
      </c>
      <c r="S79">
        <v>156430.74114945071</v>
      </c>
      <c r="T79">
        <v>0.10415866031633129</v>
      </c>
      <c r="U79">
        <v>93487.165580673973</v>
      </c>
      <c r="W79" t="s">
        <v>81</v>
      </c>
      <c r="X79">
        <f t="shared" si="4"/>
        <v>1344.7329042070892</v>
      </c>
      <c r="Y79">
        <f t="shared" si="5"/>
        <v>1963.0168337445677</v>
      </c>
      <c r="Z79">
        <f t="shared" si="3"/>
        <v>0.68503381177935885</v>
      </c>
    </row>
    <row r="80" spans="1:26" x14ac:dyDescent="0.25">
      <c r="A80" s="11">
        <v>45890</v>
      </c>
      <c r="B80" t="s">
        <v>40</v>
      </c>
      <c r="C80" s="2">
        <v>636.781494140625</v>
      </c>
      <c r="D80" s="3">
        <v>8.99640143942423E-2</v>
      </c>
      <c r="E80" s="5">
        <v>59.762655916434163</v>
      </c>
      <c r="F80" s="5">
        <v>0.5976265591643416</v>
      </c>
      <c r="G80" s="5">
        <v>9.4870275146164627</v>
      </c>
      <c r="H80" s="6">
        <v>9.4870275146164626E-2</v>
      </c>
      <c r="I80" s="2">
        <v>0.12</v>
      </c>
      <c r="J80" s="3">
        <v>11215.97392214024</v>
      </c>
      <c r="K80" s="2">
        <v>1495463.189618699</v>
      </c>
      <c r="L80" s="2">
        <v>9.212085214087077</v>
      </c>
      <c r="M80">
        <v>1.264885126717705</v>
      </c>
      <c r="N80" t="s">
        <v>55</v>
      </c>
      <c r="O80">
        <v>1.470888617842216</v>
      </c>
      <c r="P80">
        <v>34.236483402090272</v>
      </c>
      <c r="Q80">
        <v>1238.7794103742499</v>
      </c>
      <c r="R80">
        <v>163.92401851002671</v>
      </c>
      <c r="S80">
        <v>104383.7814323503</v>
      </c>
      <c r="T80">
        <v>6.9800301443036672E-2</v>
      </c>
      <c r="U80">
        <v>62382.520129978191</v>
      </c>
      <c r="W80" t="s">
        <v>81</v>
      </c>
      <c r="X80">
        <f t="shared" si="4"/>
        <v>1344.7329042070892</v>
      </c>
      <c r="Y80">
        <f t="shared" si="5"/>
        <v>1970.7926776019945</v>
      </c>
      <c r="Z80">
        <f t="shared" si="3"/>
        <v>0.68233098259900304</v>
      </c>
    </row>
    <row r="81" spans="1:26" x14ac:dyDescent="0.25">
      <c r="A81" s="11">
        <v>45891</v>
      </c>
      <c r="B81" t="s">
        <v>40</v>
      </c>
      <c r="C81" s="2">
        <v>646.55206298828125</v>
      </c>
      <c r="D81" s="3">
        <v>8.99640143942423E-2</v>
      </c>
      <c r="E81" s="5">
        <v>59.762655916434163</v>
      </c>
      <c r="F81" s="5">
        <v>0.5976265591643416</v>
      </c>
      <c r="G81" s="5">
        <v>9.4870275146164627</v>
      </c>
      <c r="H81" s="6">
        <v>9.4870275146164626E-2</v>
      </c>
      <c r="I81" s="2">
        <v>0.12</v>
      </c>
      <c r="J81" s="3">
        <v>11371.92222538086</v>
      </c>
      <c r="K81" s="2">
        <v>1516256.2967174491</v>
      </c>
      <c r="L81" s="2">
        <v>15.456222358875619</v>
      </c>
      <c r="M81">
        <v>1.264885126717705</v>
      </c>
      <c r="N81" t="s">
        <v>55</v>
      </c>
      <c r="O81">
        <v>1.47083388616766</v>
      </c>
      <c r="P81">
        <v>34.761796906423811</v>
      </c>
      <c r="Q81">
        <v>2078.4490780721362</v>
      </c>
      <c r="R81">
        <v>275.02479019248119</v>
      </c>
      <c r="S81">
        <v>177817.845471868</v>
      </c>
      <c r="T81">
        <v>0.1172742667956775</v>
      </c>
      <c r="U81">
        <v>106268.66714736909</v>
      </c>
      <c r="W81" t="s">
        <v>81</v>
      </c>
      <c r="X81">
        <f t="shared" si="4"/>
        <v>1344.7329042070894</v>
      </c>
      <c r="Y81">
        <f t="shared" si="5"/>
        <v>1941.0104425071604</v>
      </c>
      <c r="Z81">
        <f t="shared" si="3"/>
        <v>0.69280044803371976</v>
      </c>
    </row>
    <row r="82" spans="1:26" x14ac:dyDescent="0.25">
      <c r="A82" s="11">
        <v>45894</v>
      </c>
      <c r="B82" t="s">
        <v>40</v>
      </c>
      <c r="C82" s="2">
        <v>643.70068359375</v>
      </c>
      <c r="D82" s="3">
        <v>8.99640143942423E-2</v>
      </c>
      <c r="E82" s="5">
        <v>59.762655916434163</v>
      </c>
      <c r="F82" s="5">
        <v>0.5976265591643416</v>
      </c>
      <c r="G82" s="5">
        <v>9.4870275146164627</v>
      </c>
      <c r="H82" s="6">
        <v>9.4870275146164626E-2</v>
      </c>
      <c r="I82" s="2">
        <v>0.12</v>
      </c>
      <c r="J82" s="3">
        <v>11301.76753143751</v>
      </c>
      <c r="K82" s="2">
        <v>1506902.337525001</v>
      </c>
      <c r="L82" s="2">
        <v>15.3787303237452</v>
      </c>
      <c r="M82">
        <v>1.264885126717705</v>
      </c>
      <c r="N82" t="s">
        <v>55</v>
      </c>
      <c r="O82">
        <v>1.470780023249844</v>
      </c>
      <c r="P82">
        <v>34.608492822978867</v>
      </c>
      <c r="Q82">
        <v>2068.028469126752</v>
      </c>
      <c r="R82">
        <v>273.63589202015942</v>
      </c>
      <c r="S82">
        <v>176139.61074916221</v>
      </c>
      <c r="T82">
        <v>0.1168885377392546</v>
      </c>
      <c r="U82">
        <v>105265.70950456829</v>
      </c>
      <c r="W82" t="s">
        <v>81</v>
      </c>
      <c r="X82">
        <f t="shared" si="4"/>
        <v>1344.7329042070896</v>
      </c>
      <c r="Y82">
        <f t="shared" si="5"/>
        <v>1949.6084715622728</v>
      </c>
      <c r="Z82">
        <f t="shared" si="3"/>
        <v>0.68974510719555893</v>
      </c>
    </row>
    <row r="83" spans="1:26" x14ac:dyDescent="0.25">
      <c r="A83" s="11">
        <v>45895</v>
      </c>
      <c r="B83" t="s">
        <v>40</v>
      </c>
      <c r="C83" s="2">
        <v>646.31280517578125</v>
      </c>
      <c r="D83" s="3">
        <v>8.99640143942423E-2</v>
      </c>
      <c r="E83" s="5">
        <v>59.762655916434163</v>
      </c>
      <c r="F83" s="5">
        <v>0.5976265591643416</v>
      </c>
      <c r="G83" s="5">
        <v>9.4870275146164627</v>
      </c>
      <c r="H83" s="6">
        <v>9.4870275146164626E-2</v>
      </c>
      <c r="I83" s="2">
        <v>0.12</v>
      </c>
      <c r="J83" s="3">
        <v>11327.541687894311</v>
      </c>
      <c r="K83" s="2">
        <v>1510338.8917192421</v>
      </c>
      <c r="L83" s="2">
        <v>17.586785902456992</v>
      </c>
      <c r="M83">
        <v>1.264885126717705</v>
      </c>
      <c r="N83" t="s">
        <v>55</v>
      </c>
      <c r="O83">
        <v>1.470727015298976</v>
      </c>
      <c r="P83">
        <v>34.748933237799882</v>
      </c>
      <c r="Q83">
        <v>2364.9529682279281</v>
      </c>
      <c r="R83">
        <v>312.91285466756659</v>
      </c>
      <c r="S83">
        <v>202239.5848757565</v>
      </c>
      <c r="T83">
        <v>0.13390344775240751</v>
      </c>
      <c r="U83">
        <v>120863.74723612321</v>
      </c>
      <c r="W83" t="s">
        <v>81</v>
      </c>
      <c r="X83">
        <f t="shared" si="4"/>
        <v>1344.7329042070889</v>
      </c>
      <c r="Y83">
        <f t="shared" si="5"/>
        <v>1941.7289829860042</v>
      </c>
      <c r="Z83">
        <f t="shared" si="3"/>
        <v>0.69254407591895206</v>
      </c>
    </row>
    <row r="84" spans="1:26" x14ac:dyDescent="0.25">
      <c r="A84" s="11">
        <v>45896</v>
      </c>
      <c r="B84" t="s">
        <v>40</v>
      </c>
      <c r="C84" s="2">
        <v>647.84814453125</v>
      </c>
      <c r="D84" s="3">
        <v>8.99640143942423E-2</v>
      </c>
      <c r="E84" s="5">
        <v>59.762655916434163</v>
      </c>
      <c r="F84" s="5">
        <v>0.5976265591643416</v>
      </c>
      <c r="G84" s="5">
        <v>9.4870275146164627</v>
      </c>
      <c r="H84" s="6">
        <v>9.4870275146164626E-2</v>
      </c>
      <c r="I84" s="2">
        <v>0.12</v>
      </c>
      <c r="J84" s="3">
        <v>11322.57916940649</v>
      </c>
      <c r="K84" s="2">
        <v>1509677.2225875319</v>
      </c>
      <c r="L84" s="2">
        <v>18.74979201401958</v>
      </c>
      <c r="M84">
        <v>1.264885126717705</v>
      </c>
      <c r="N84" t="s">
        <v>55</v>
      </c>
      <c r="O84">
        <v>1.470674848744155</v>
      </c>
      <c r="P84">
        <v>34.831480580716971</v>
      </c>
      <c r="Q84">
        <v>2521.3462268291441</v>
      </c>
      <c r="R84">
        <v>333.59380573038248</v>
      </c>
      <c r="S84">
        <v>216118.1280695466</v>
      </c>
      <c r="T84">
        <v>0.1431551889609409</v>
      </c>
      <c r="U84">
        <v>129157.9332512416</v>
      </c>
      <c r="W84" t="s">
        <v>81</v>
      </c>
      <c r="X84">
        <f t="shared" si="4"/>
        <v>1344.7329042070894</v>
      </c>
      <c r="Y84">
        <f t="shared" si="5"/>
        <v>1937.1272673673079</v>
      </c>
      <c r="Z84">
        <f t="shared" si="3"/>
        <v>0.69418923932379306</v>
      </c>
    </row>
    <row r="85" spans="1:26" x14ac:dyDescent="0.25">
      <c r="A85" s="11">
        <v>45897</v>
      </c>
      <c r="B85" t="s">
        <v>40</v>
      </c>
      <c r="C85" s="2">
        <v>650.18115234375</v>
      </c>
      <c r="D85" s="3">
        <v>8.99640143942423E-2</v>
      </c>
      <c r="E85" s="5">
        <v>59.762655916434163</v>
      </c>
      <c r="F85" s="5">
        <v>0.5976265591643416</v>
      </c>
      <c r="G85" s="5">
        <v>9.4870275146164627</v>
      </c>
      <c r="H85" s="6">
        <v>9.4870275146164626E-2</v>
      </c>
      <c r="I85" s="2">
        <v>0.12</v>
      </c>
      <c r="J85" s="3">
        <v>11378.154351959191</v>
      </c>
      <c r="K85" s="2">
        <v>1517087.2469278921</v>
      </c>
      <c r="L85" s="2">
        <v>19.42293837463134</v>
      </c>
      <c r="M85">
        <v>1.264885126717705</v>
      </c>
      <c r="N85" t="s">
        <v>55</v>
      </c>
      <c r="O85">
        <v>1.4706235102298859</v>
      </c>
      <c r="P85">
        <v>34.956914475992782</v>
      </c>
      <c r="Q85">
        <v>2611.8664328753321</v>
      </c>
      <c r="R85">
        <v>345.55827303251448</v>
      </c>
      <c r="S85">
        <v>224675.47616219649</v>
      </c>
      <c r="T85">
        <v>0.1480966085616798</v>
      </c>
      <c r="U85">
        <v>134272.03174742349</v>
      </c>
      <c r="W85" t="s">
        <v>81</v>
      </c>
      <c r="X85">
        <f t="shared" si="4"/>
        <v>1344.7329042070892</v>
      </c>
      <c r="Y85">
        <f t="shared" si="5"/>
        <v>1930.1763844752347</v>
      </c>
      <c r="Z85">
        <f t="shared" si="3"/>
        <v>0.69668912904697433</v>
      </c>
    </row>
    <row r="86" spans="1:26" x14ac:dyDescent="0.25">
      <c r="A86" s="11">
        <v>45898</v>
      </c>
      <c r="B86" t="s">
        <v>40</v>
      </c>
      <c r="C86" s="2">
        <v>646.37261962890625</v>
      </c>
      <c r="D86" s="3">
        <v>8.99640143942423E-2</v>
      </c>
      <c r="E86" s="5">
        <v>59.762655916434163</v>
      </c>
      <c r="F86" s="5">
        <v>0.5976265591643416</v>
      </c>
      <c r="G86" s="5">
        <v>9.4870275146164627</v>
      </c>
      <c r="H86" s="6">
        <v>9.4870275146164626E-2</v>
      </c>
      <c r="I86" s="2">
        <v>0.12</v>
      </c>
      <c r="J86" s="3">
        <v>11372.348901490959</v>
      </c>
      <c r="K86" s="2">
        <v>1516313.1868654611</v>
      </c>
      <c r="L86" s="2">
        <v>17.112219970670861</v>
      </c>
      <c r="M86">
        <v>1.264885126717705</v>
      </c>
      <c r="N86" t="s">
        <v>55</v>
      </c>
      <c r="O86">
        <v>1.4705729866126691</v>
      </c>
      <c r="P86">
        <v>34.752149154955873</v>
      </c>
      <c r="Q86">
        <v>2301.1365258590772</v>
      </c>
      <c r="R86">
        <v>304.43725429254999</v>
      </c>
      <c r="S86">
        <v>196779.90556970701</v>
      </c>
      <c r="T86">
        <v>0.12977523856828849</v>
      </c>
      <c r="U86">
        <v>117600.8978783081</v>
      </c>
      <c r="W86" t="s">
        <v>81</v>
      </c>
      <c r="X86">
        <f t="shared" si="4"/>
        <v>1344.7329042070889</v>
      </c>
      <c r="Y86">
        <f t="shared" si="5"/>
        <v>1941.5492979967159</v>
      </c>
      <c r="Z86">
        <f t="shared" si="3"/>
        <v>0.69260816894764399</v>
      </c>
    </row>
    <row r="87" spans="1:26" x14ac:dyDescent="0.25">
      <c r="A87" s="11">
        <v>45901</v>
      </c>
      <c r="B87" t="s">
        <v>40</v>
      </c>
      <c r="D87" s="3">
        <v>8.99640143942423E-2</v>
      </c>
      <c r="E87" s="5">
        <v>59.762655916434163</v>
      </c>
      <c r="F87" s="5">
        <v>0.5976265591643416</v>
      </c>
      <c r="G87" s="5">
        <v>9.4870275146164627</v>
      </c>
      <c r="H87" s="6">
        <v>9.4870275146164626E-2</v>
      </c>
      <c r="I87" s="2">
        <v>0.12</v>
      </c>
      <c r="J87" s="3">
        <v>11372.21859343599</v>
      </c>
      <c r="K87" s="2">
        <v>1516295.8124581319</v>
      </c>
      <c r="L87" s="2">
        <v>17.10974123865071</v>
      </c>
      <c r="M87">
        <v>1.264885126717705</v>
      </c>
      <c r="N87" t="s">
        <v>55</v>
      </c>
      <c r="O87">
        <v>1.4705232649576301</v>
      </c>
      <c r="Q87">
        <v>2300.8032026082569</v>
      </c>
      <c r="R87">
        <v>304.38286421677509</v>
      </c>
      <c r="W87" t="s">
        <v>81</v>
      </c>
      <c r="X87">
        <f t="shared" si="4"/>
        <v>1344.7329042070892</v>
      </c>
      <c r="Y87" t="e">
        <f t="shared" si="5"/>
        <v>#DIV/0!</v>
      </c>
      <c r="Z87" t="e">
        <f t="shared" si="3"/>
        <v>#DIV/0!</v>
      </c>
    </row>
    <row r="88" spans="1:26" x14ac:dyDescent="0.25">
      <c r="A88" s="11">
        <v>45902</v>
      </c>
      <c r="B88" t="s">
        <v>40</v>
      </c>
      <c r="C88" s="2">
        <v>641.4873046875</v>
      </c>
      <c r="D88" s="3">
        <v>8.99640143942423E-2</v>
      </c>
      <c r="E88" s="5">
        <v>59.762655916434163</v>
      </c>
      <c r="F88" s="5">
        <v>0.5976265591643416</v>
      </c>
      <c r="G88" s="5">
        <v>9.4870275146164627</v>
      </c>
      <c r="H88" s="6">
        <v>9.4870275146164626E-2</v>
      </c>
      <c r="I88" s="2">
        <v>0.12</v>
      </c>
      <c r="J88" s="3">
        <v>11333.2671650435</v>
      </c>
      <c r="K88" s="2">
        <v>1511102.288672467</v>
      </c>
      <c r="L88" s="2">
        <v>11.581680375998239</v>
      </c>
      <c r="M88">
        <v>1.264885126717705</v>
      </c>
      <c r="N88" t="s">
        <v>55</v>
      </c>
      <c r="O88">
        <v>1.470474332535211</v>
      </c>
      <c r="P88">
        <v>34.489490762015038</v>
      </c>
      <c r="Q88">
        <v>1557.4266687614361</v>
      </c>
      <c r="R88">
        <v>206.03162205111639</v>
      </c>
      <c r="S88">
        <v>132166.66990996429</v>
      </c>
      <c r="T88">
        <v>8.7463748086885215E-2</v>
      </c>
      <c r="U88">
        <v>78986.31217450129</v>
      </c>
      <c r="W88" t="s">
        <v>81</v>
      </c>
      <c r="X88">
        <f t="shared" si="4"/>
        <v>1344.7329042070889</v>
      </c>
      <c r="Y88">
        <f t="shared" si="5"/>
        <v>1956.3353736145348</v>
      </c>
      <c r="Z88">
        <f t="shared" si="3"/>
        <v>0.68737340352976084</v>
      </c>
    </row>
    <row r="89" spans="1:26" x14ac:dyDescent="0.25">
      <c r="A89" s="11">
        <v>45903</v>
      </c>
      <c r="B89" t="s">
        <v>40</v>
      </c>
      <c r="C89" s="2">
        <v>644.93695068359375</v>
      </c>
      <c r="D89" s="3">
        <v>8.99640143942423E-2</v>
      </c>
      <c r="E89" s="5">
        <v>59.762655916434163</v>
      </c>
      <c r="F89" s="5">
        <v>0.5976265591643416</v>
      </c>
      <c r="G89" s="5">
        <v>9.4870275146164627</v>
      </c>
      <c r="H89" s="6">
        <v>9.4870275146164626E-2</v>
      </c>
      <c r="I89" s="2">
        <v>0.12</v>
      </c>
      <c r="J89" s="3">
        <v>11395.13290550077</v>
      </c>
      <c r="K89" s="2">
        <v>1519351.05406677</v>
      </c>
      <c r="L89" s="2">
        <v>12.912212922574851</v>
      </c>
      <c r="M89">
        <v>1.264885126717705</v>
      </c>
      <c r="N89" t="s">
        <v>55</v>
      </c>
      <c r="O89">
        <v>1.470426176817909</v>
      </c>
      <c r="P89">
        <v>34.674960580116043</v>
      </c>
      <c r="Q89">
        <v>1736.3477583114391</v>
      </c>
      <c r="R89">
        <v>229.69353020636581</v>
      </c>
      <c r="S89">
        <v>148137.84496304349</v>
      </c>
      <c r="T89">
        <v>9.7500735308361078E-2</v>
      </c>
      <c r="U89">
        <v>88531.11056728437</v>
      </c>
      <c r="W89" t="s">
        <v>81</v>
      </c>
      <c r="X89">
        <f t="shared" si="4"/>
        <v>1344.7329042070896</v>
      </c>
      <c r="Y89">
        <f t="shared" si="5"/>
        <v>1945.8713050238721</v>
      </c>
      <c r="Z89">
        <f t="shared" si="3"/>
        <v>0.69106980545694019</v>
      </c>
    </row>
    <row r="90" spans="1:26" x14ac:dyDescent="0.25">
      <c r="A90" s="11">
        <v>45904</v>
      </c>
      <c r="B90" t="s">
        <v>40</v>
      </c>
      <c r="C90" s="2">
        <v>650.25091552734375</v>
      </c>
      <c r="D90" s="3">
        <v>8.99640143942423E-2</v>
      </c>
      <c r="E90" s="5">
        <v>59.762655916434163</v>
      </c>
      <c r="F90" s="5">
        <v>0.5976265591643416</v>
      </c>
      <c r="G90" s="5">
        <v>9.4870275146164627</v>
      </c>
      <c r="H90" s="6">
        <v>9.4870275146164626E-2</v>
      </c>
      <c r="I90" s="2">
        <v>0.12</v>
      </c>
      <c r="J90" s="3">
        <v>11424.745083212751</v>
      </c>
      <c r="K90" s="2">
        <v>1523299.3444283661</v>
      </c>
      <c r="L90" s="2">
        <v>16.87925053529235</v>
      </c>
      <c r="M90">
        <v>1.264885126717705</v>
      </c>
      <c r="N90" t="s">
        <v>55</v>
      </c>
      <c r="O90">
        <v>1.4703787854770729</v>
      </c>
      <c r="P90">
        <v>34.960665285492048</v>
      </c>
      <c r="Q90">
        <v>2269.8083593162742</v>
      </c>
      <c r="R90">
        <v>300.25292409384912</v>
      </c>
      <c r="S90">
        <v>195239.7387817874</v>
      </c>
      <c r="T90">
        <v>0.1281689902223736</v>
      </c>
      <c r="U90">
        <v>116680.45330030451</v>
      </c>
      <c r="W90" t="s">
        <v>81</v>
      </c>
      <c r="X90">
        <f t="shared" si="4"/>
        <v>1344.7329042070889</v>
      </c>
      <c r="Y90">
        <f t="shared" si="5"/>
        <v>1929.9693024915525</v>
      </c>
      <c r="Z90">
        <f t="shared" si="3"/>
        <v>0.6967638824467649</v>
      </c>
    </row>
    <row r="91" spans="1:26" x14ac:dyDescent="0.25">
      <c r="A91" s="11">
        <v>45905</v>
      </c>
      <c r="B91" t="s">
        <v>40</v>
      </c>
      <c r="C91" s="2">
        <v>648.51611328125</v>
      </c>
      <c r="D91" s="3">
        <v>8.99640143942423E-2</v>
      </c>
      <c r="E91" s="5">
        <v>59.762655916434163</v>
      </c>
      <c r="F91" s="5">
        <v>0.5976265591643416</v>
      </c>
      <c r="G91" s="5">
        <v>9.4870275146164627</v>
      </c>
      <c r="H91" s="6">
        <v>9.4870275146164626E-2</v>
      </c>
      <c r="I91" s="2">
        <v>0.12</v>
      </c>
      <c r="J91" s="3">
        <v>11503.23554731343</v>
      </c>
      <c r="K91" s="2">
        <v>1533764.73964179</v>
      </c>
      <c r="L91" s="2">
        <v>16.609831990887042</v>
      </c>
      <c r="M91">
        <v>1.264885126717705</v>
      </c>
      <c r="N91" t="s">
        <v>55</v>
      </c>
      <c r="O91">
        <v>1.4703321463797421</v>
      </c>
      <c r="P91">
        <v>34.867393843324187</v>
      </c>
      <c r="Q91">
        <v>2233.578761149734</v>
      </c>
      <c r="R91">
        <v>295.45105842226491</v>
      </c>
      <c r="S91">
        <v>191604.77207283879</v>
      </c>
      <c r="T91">
        <v>0.12492448621396</v>
      </c>
      <c r="U91">
        <v>114508.1006533586</v>
      </c>
      <c r="W91" t="s">
        <v>81</v>
      </c>
      <c r="X91">
        <f t="shared" si="4"/>
        <v>1344.7329042070887</v>
      </c>
      <c r="Y91">
        <f t="shared" si="5"/>
        <v>1935.1320347849942</v>
      </c>
      <c r="Z91">
        <f t="shared" si="3"/>
        <v>0.69490498841155168</v>
      </c>
    </row>
    <row r="92" spans="1:26" x14ac:dyDescent="0.25">
      <c r="A92" s="11">
        <v>45908</v>
      </c>
      <c r="B92" t="s">
        <v>40</v>
      </c>
      <c r="C92" s="2">
        <v>650.16119384765625</v>
      </c>
      <c r="D92" s="3">
        <v>8.99640143942423E-2</v>
      </c>
      <c r="E92" s="5">
        <v>59.762655916434163</v>
      </c>
      <c r="F92" s="5">
        <v>0.5976265591643416</v>
      </c>
      <c r="G92" s="5">
        <v>9.4870275146164627</v>
      </c>
      <c r="H92" s="6">
        <v>9.4870275146164626E-2</v>
      </c>
      <c r="I92" s="2">
        <v>0.12</v>
      </c>
      <c r="J92" s="3">
        <v>11559.963842737259</v>
      </c>
      <c r="K92" s="2">
        <v>1541328.5123649689</v>
      </c>
      <c r="L92" s="2">
        <v>18.164014284438579</v>
      </c>
      <c r="M92">
        <v>1.264885126717705</v>
      </c>
      <c r="N92" t="s">
        <v>55</v>
      </c>
      <c r="O92">
        <v>1.4702862475855429</v>
      </c>
      <c r="P92">
        <v>34.955841409758072</v>
      </c>
      <c r="Q92">
        <v>2442.5747680772151</v>
      </c>
      <c r="R92">
        <v>323.08633357043271</v>
      </c>
      <c r="S92">
        <v>210058.19635001459</v>
      </c>
      <c r="T92">
        <v>0.13628385815539579</v>
      </c>
      <c r="U92">
        <v>125536.3571089269</v>
      </c>
      <c r="W92" t="s">
        <v>81</v>
      </c>
      <c r="X92">
        <f t="shared" si="4"/>
        <v>1344.7329042070896</v>
      </c>
      <c r="Y92">
        <f t="shared" si="5"/>
        <v>1930.2356365779353</v>
      </c>
      <c r="Z92">
        <f t="shared" si="3"/>
        <v>0.69666774290372735</v>
      </c>
    </row>
    <row r="93" spans="1:26" x14ac:dyDescent="0.25">
      <c r="A93" s="11">
        <v>45909</v>
      </c>
      <c r="B93" t="s">
        <v>40</v>
      </c>
      <c r="C93" s="2">
        <v>651.65667724609375</v>
      </c>
      <c r="D93" s="3">
        <v>8.99640143942423E-2</v>
      </c>
      <c r="E93" s="5">
        <v>59.762655916434163</v>
      </c>
      <c r="F93" s="5">
        <v>0.5976265591643416</v>
      </c>
      <c r="G93" s="5">
        <v>9.4870275146164627</v>
      </c>
      <c r="H93" s="6">
        <v>9.4870275146164626E-2</v>
      </c>
      <c r="I93" s="2">
        <v>0.12</v>
      </c>
      <c r="J93" s="3">
        <v>11531.90553313338</v>
      </c>
      <c r="K93" s="2">
        <v>1537587.4044177849</v>
      </c>
      <c r="L93" s="2">
        <v>18.98957049016224</v>
      </c>
      <c r="M93">
        <v>1.264885126717705</v>
      </c>
      <c r="N93" t="s">
        <v>55</v>
      </c>
      <c r="O93">
        <v>1.470241077343633</v>
      </c>
      <c r="P93">
        <v>35.03624590175388</v>
      </c>
      <c r="Q93">
        <v>2553.590027488111</v>
      </c>
      <c r="R93">
        <v>337.76026166020358</v>
      </c>
      <c r="S93">
        <v>220103.72981925949</v>
      </c>
      <c r="T93">
        <v>0.14314875966521259</v>
      </c>
      <c r="U93">
        <v>131539.83471112189</v>
      </c>
      <c r="W93" t="s">
        <v>81</v>
      </c>
      <c r="X93">
        <f t="shared" si="4"/>
        <v>1344.7329042070894</v>
      </c>
      <c r="Y93">
        <f t="shared" si="5"/>
        <v>1925.8059492128436</v>
      </c>
      <c r="Z93">
        <f t="shared" si="3"/>
        <v>0.69827019942312318</v>
      </c>
    </row>
    <row r="94" spans="1:26" x14ac:dyDescent="0.25">
      <c r="A94" s="11">
        <v>45910</v>
      </c>
      <c r="B94" t="s">
        <v>40</v>
      </c>
      <c r="C94" s="2">
        <v>653.52105712890625</v>
      </c>
      <c r="D94" s="3">
        <v>8.99640143942423E-2</v>
      </c>
      <c r="E94" s="5">
        <v>59.762655916434163</v>
      </c>
      <c r="F94" s="5">
        <v>0.5976265591643416</v>
      </c>
      <c r="G94" s="5">
        <v>9.4870275146164627</v>
      </c>
      <c r="H94" s="6">
        <v>9.4870275146164626E-2</v>
      </c>
      <c r="I94" s="2">
        <v>0.12</v>
      </c>
      <c r="J94" s="3">
        <v>11593.252526616159</v>
      </c>
      <c r="K94" s="2">
        <v>1545767.0035488219</v>
      </c>
      <c r="L94" s="2">
        <v>19.508932765789631</v>
      </c>
      <c r="M94">
        <v>1.264885126717705</v>
      </c>
      <c r="N94" t="s">
        <v>55</v>
      </c>
      <c r="O94">
        <v>1.47019662408969</v>
      </c>
      <c r="P94">
        <v>35.136484070576991</v>
      </c>
      <c r="Q94">
        <v>2623.4303816121128</v>
      </c>
      <c r="R94">
        <v>346.98746914955819</v>
      </c>
      <c r="S94">
        <v>226763.61764910299</v>
      </c>
      <c r="T94">
        <v>0.14669974008274969</v>
      </c>
      <c r="U94">
        <v>135519.96055929179</v>
      </c>
      <c r="W94" t="s">
        <v>81</v>
      </c>
      <c r="X94">
        <f t="shared" si="4"/>
        <v>1344.7329042070892</v>
      </c>
      <c r="Y94">
        <f t="shared" si="5"/>
        <v>1920.3119657661787</v>
      </c>
      <c r="Z94">
        <f t="shared" si="3"/>
        <v>0.70026793988681879</v>
      </c>
    </row>
    <row r="95" spans="1:26" x14ac:dyDescent="0.25">
      <c r="A95" s="11">
        <v>45911</v>
      </c>
      <c r="B95" t="s">
        <v>40</v>
      </c>
      <c r="C95" s="2">
        <v>658.96466064453125</v>
      </c>
      <c r="D95" s="3">
        <v>8.99640143942423E-2</v>
      </c>
      <c r="E95" s="5">
        <v>59.762655916434163</v>
      </c>
      <c r="F95" s="5">
        <v>0.5976265591643416</v>
      </c>
      <c r="G95" s="5">
        <v>9.4870275146164627</v>
      </c>
      <c r="H95" s="6">
        <v>9.4870275146164626E-2</v>
      </c>
      <c r="I95" s="2">
        <v>0.12</v>
      </c>
      <c r="J95" s="3">
        <v>11708.72469826873</v>
      </c>
      <c r="K95" s="2">
        <v>1561163.293102497</v>
      </c>
      <c r="L95" s="2">
        <v>20</v>
      </c>
      <c r="M95">
        <v>1.264885126717705</v>
      </c>
      <c r="N95" t="s">
        <v>55</v>
      </c>
      <c r="O95">
        <v>1.4701528764429519</v>
      </c>
      <c r="P95">
        <v>35.429158784156371</v>
      </c>
      <c r="Q95">
        <v>2689.4658084141779</v>
      </c>
      <c r="R95">
        <v>355.71104605657769</v>
      </c>
      <c r="S95">
        <v>234401.00875218399</v>
      </c>
      <c r="T95">
        <v>0.15014509359002359</v>
      </c>
      <c r="U95">
        <v>140084.26832521841</v>
      </c>
      <c r="W95" t="s">
        <v>81</v>
      </c>
      <c r="X95">
        <f t="shared" si="4"/>
        <v>1344.7329042070889</v>
      </c>
      <c r="Y95">
        <f t="shared" si="5"/>
        <v>1904.4485703638866</v>
      </c>
      <c r="Z95">
        <f t="shared" si="3"/>
        <v>0.70610092870617569</v>
      </c>
    </row>
    <row r="96" spans="1:26" x14ac:dyDescent="0.25">
      <c r="A96" s="11">
        <v>45912</v>
      </c>
      <c r="B96" t="s">
        <v>40</v>
      </c>
      <c r="C96" s="2">
        <v>658.73529052734375</v>
      </c>
      <c r="D96" s="3">
        <v>8.99640143942423E-2</v>
      </c>
      <c r="E96" s="5">
        <v>59.762655916434163</v>
      </c>
      <c r="F96" s="5">
        <v>0.5976265591643416</v>
      </c>
      <c r="G96" s="5">
        <v>9.4870275146164627</v>
      </c>
      <c r="H96" s="6">
        <v>9.4870275146164626E-2</v>
      </c>
      <c r="I96" s="2">
        <v>0.12</v>
      </c>
      <c r="J96" s="3">
        <v>11669.011738059929</v>
      </c>
      <c r="K96" s="2">
        <v>1555868.2317413241</v>
      </c>
      <c r="L96" s="2">
        <v>20</v>
      </c>
      <c r="M96">
        <v>1.264885126717705</v>
      </c>
      <c r="N96" t="s">
        <v>55</v>
      </c>
      <c r="O96">
        <v>1.470109823203305</v>
      </c>
      <c r="P96">
        <v>35.416826726327614</v>
      </c>
      <c r="Q96">
        <v>2689.4658084141779</v>
      </c>
      <c r="R96">
        <v>355.70062910416232</v>
      </c>
      <c r="S96">
        <v>234312.5572536893</v>
      </c>
      <c r="T96">
        <v>0.15059922972490239</v>
      </c>
      <c r="U96">
        <v>140031.4073605201</v>
      </c>
      <c r="W96" t="s">
        <v>81</v>
      </c>
      <c r="X96">
        <f t="shared" si="4"/>
        <v>1344.7329042070889</v>
      </c>
      <c r="Y96">
        <f t="shared" si="5"/>
        <v>1905.1116949877583</v>
      </c>
      <c r="Z96">
        <f t="shared" si="3"/>
        <v>0.70585515156145728</v>
      </c>
    </row>
    <row r="97" spans="1:26" x14ac:dyDescent="0.25">
      <c r="A97" s="11">
        <v>45915</v>
      </c>
      <c r="B97" t="s">
        <v>40</v>
      </c>
      <c r="C97" s="2">
        <v>662.17498779296875</v>
      </c>
      <c r="D97" s="3">
        <v>8.99640143942423E-2</v>
      </c>
      <c r="E97" s="5">
        <v>59.762655916434163</v>
      </c>
      <c r="F97" s="5">
        <v>0.5976265591643416</v>
      </c>
      <c r="G97" s="5">
        <v>9.4870275146164627</v>
      </c>
      <c r="H97" s="6">
        <v>9.4870275146164626E-2</v>
      </c>
      <c r="I97" s="2">
        <v>0.12</v>
      </c>
      <c r="J97" s="3">
        <v>11801.86580519466</v>
      </c>
      <c r="K97" s="2">
        <v>1573582.107359288</v>
      </c>
      <c r="L97" s="2">
        <v>20</v>
      </c>
      <c r="M97">
        <v>1.264885126717705</v>
      </c>
      <c r="N97" t="s">
        <v>55</v>
      </c>
      <c r="O97">
        <v>1.470067453348415</v>
      </c>
      <c r="P97">
        <v>35.60176165208533</v>
      </c>
      <c r="Q97">
        <v>2689.4658084141779</v>
      </c>
      <c r="R97">
        <v>355.690377500198</v>
      </c>
      <c r="S97">
        <v>235529.2713792701</v>
      </c>
      <c r="T97">
        <v>0.14967714126752771</v>
      </c>
      <c r="U97">
        <v>140758.54803687759</v>
      </c>
      <c r="W97" t="s">
        <v>81</v>
      </c>
      <c r="X97">
        <f t="shared" si="4"/>
        <v>1344.7329042070889</v>
      </c>
      <c r="Y97">
        <f t="shared" si="5"/>
        <v>1895.2155080148846</v>
      </c>
      <c r="Z97">
        <f t="shared" si="3"/>
        <v>0.70954089311753765</v>
      </c>
    </row>
    <row r="98" spans="1:26" x14ac:dyDescent="0.25">
      <c r="A98" s="11">
        <v>45916</v>
      </c>
      <c r="B98" t="s">
        <v>40</v>
      </c>
      <c r="C98" s="2">
        <v>661.29998779296875</v>
      </c>
      <c r="D98" s="3">
        <v>8.99640143942423E-2</v>
      </c>
      <c r="E98" s="5">
        <v>59.762655916434163</v>
      </c>
      <c r="F98" s="5">
        <v>0.5976265591643416</v>
      </c>
      <c r="G98" s="5">
        <v>9.4870275146164627</v>
      </c>
      <c r="H98" s="6">
        <v>9.4870275146164626E-2</v>
      </c>
      <c r="I98" s="2">
        <v>0.12</v>
      </c>
      <c r="J98" s="3">
        <v>11826.422812750059</v>
      </c>
      <c r="K98" s="2">
        <v>1576856.3750333411</v>
      </c>
      <c r="L98" s="2">
        <v>20</v>
      </c>
      <c r="M98">
        <v>1.264885126717705</v>
      </c>
      <c r="N98" t="s">
        <v>55</v>
      </c>
      <c r="O98">
        <v>1.470025756030904</v>
      </c>
      <c r="P98">
        <v>35.554717378260669</v>
      </c>
      <c r="Q98">
        <v>2689.4658084141779</v>
      </c>
      <c r="R98">
        <v>355.68028862010601</v>
      </c>
      <c r="S98">
        <v>235211.37052267569</v>
      </c>
      <c r="T98">
        <v>0.14916473957097229</v>
      </c>
      <c r="U98">
        <v>140568.5620417957</v>
      </c>
      <c r="W98" t="s">
        <v>81</v>
      </c>
      <c r="X98">
        <f t="shared" si="4"/>
        <v>1344.7329042070889</v>
      </c>
      <c r="Y98">
        <f t="shared" si="5"/>
        <v>1897.7231650542374</v>
      </c>
      <c r="Z98">
        <f t="shared" si="3"/>
        <v>0.70860330366924518</v>
      </c>
    </row>
    <row r="99" spans="1:26" x14ac:dyDescent="0.25">
      <c r="A99" s="11">
        <v>45917</v>
      </c>
      <c r="B99" t="s">
        <v>40</v>
      </c>
      <c r="C99" s="2">
        <v>660.57000732421875</v>
      </c>
      <c r="D99" s="3">
        <v>8.99640143942423E-2</v>
      </c>
      <c r="E99" s="5">
        <v>59.762655916434163</v>
      </c>
      <c r="F99" s="5">
        <v>0.5976265591643416</v>
      </c>
      <c r="G99" s="5">
        <v>9.4870275146164627</v>
      </c>
      <c r="H99" s="6">
        <v>9.4870275146164626E-2</v>
      </c>
      <c r="I99" s="2">
        <v>0.12</v>
      </c>
      <c r="J99" s="3">
        <v>11773.102500536501</v>
      </c>
      <c r="K99" s="2">
        <v>1569747.000071533</v>
      </c>
      <c r="L99" s="2">
        <v>19.844366407483491</v>
      </c>
      <c r="M99">
        <v>1.264885126717705</v>
      </c>
      <c r="N99" t="s">
        <v>55</v>
      </c>
      <c r="O99">
        <v>1.4699847205755749</v>
      </c>
      <c r="P99">
        <v>35.515470062765203</v>
      </c>
      <c r="Q99">
        <v>2668.5372471284868</v>
      </c>
      <c r="R99">
        <v>352.90264708797218</v>
      </c>
      <c r="S99">
        <v>233116.90417163799</v>
      </c>
      <c r="T99">
        <v>0.14850603578857921</v>
      </c>
      <c r="U99">
        <v>139316.85332313951</v>
      </c>
      <c r="W99" t="s">
        <v>81</v>
      </c>
      <c r="X99">
        <f t="shared" si="4"/>
        <v>1344.7329042070887</v>
      </c>
      <c r="Y99">
        <f t="shared" si="5"/>
        <v>1899.8202945488013</v>
      </c>
      <c r="Z99">
        <f t="shared" si="3"/>
        <v>0.70782110711500568</v>
      </c>
    </row>
    <row r="100" spans="1:26" x14ac:dyDescent="0.25">
      <c r="A100" s="11">
        <v>45918</v>
      </c>
      <c r="B100" t="s">
        <v>40</v>
      </c>
      <c r="C100" s="2">
        <v>663.70001220703125</v>
      </c>
      <c r="D100" s="3">
        <v>8.99640143942423E-2</v>
      </c>
      <c r="E100" s="5">
        <v>59.762655916434163</v>
      </c>
      <c r="F100" s="5">
        <v>0.5976265591643416</v>
      </c>
      <c r="G100" s="5">
        <v>9.4870275146164627</v>
      </c>
      <c r="H100" s="6">
        <v>9.4870275146164626E-2</v>
      </c>
      <c r="I100" s="2">
        <v>0.12</v>
      </c>
      <c r="J100" s="3">
        <v>11715.486645061539</v>
      </c>
      <c r="K100" s="2">
        <v>1562064.8860082049</v>
      </c>
      <c r="L100" s="2">
        <v>20</v>
      </c>
      <c r="M100">
        <v>1.264885126717705</v>
      </c>
      <c r="N100" t="s">
        <v>55</v>
      </c>
      <c r="O100">
        <v>1.4699443364766811</v>
      </c>
      <c r="P100">
        <v>35.683754413370423</v>
      </c>
      <c r="Q100">
        <v>2689.4658084141779</v>
      </c>
      <c r="R100">
        <v>355.66058874086377</v>
      </c>
      <c r="S100">
        <v>236051.9370888712</v>
      </c>
      <c r="T100">
        <v>0.1511153212668985</v>
      </c>
      <c r="U100">
        <v>141070.90694649969</v>
      </c>
      <c r="W100" t="s">
        <v>81</v>
      </c>
      <c r="X100">
        <f t="shared" si="4"/>
        <v>1344.7329042070889</v>
      </c>
      <c r="Y100">
        <f t="shared" si="5"/>
        <v>1890.8607545623097</v>
      </c>
      <c r="Z100">
        <f t="shared" si="3"/>
        <v>0.71117500374498144</v>
      </c>
    </row>
    <row r="101" spans="1:26" x14ac:dyDescent="0.25">
      <c r="A101" s="11">
        <v>45919</v>
      </c>
      <c r="B101" t="s">
        <v>40</v>
      </c>
      <c r="C101" s="2">
        <v>666.8699951171875</v>
      </c>
      <c r="D101" s="3">
        <v>8.99640143942423E-2</v>
      </c>
      <c r="E101" s="5">
        <v>59.762655916434163</v>
      </c>
      <c r="F101" s="5">
        <v>0.5976265591643416</v>
      </c>
      <c r="G101" s="5">
        <v>9.4870275146164627</v>
      </c>
      <c r="H101" s="6">
        <v>9.4870275146164626E-2</v>
      </c>
      <c r="I101" s="2">
        <v>0.12</v>
      </c>
      <c r="J101" s="3">
        <v>11715.93020413098</v>
      </c>
      <c r="K101" s="2">
        <v>1562124.0272174641</v>
      </c>
      <c r="L101" s="2">
        <v>20</v>
      </c>
      <c r="M101">
        <v>1.264885126717705</v>
      </c>
      <c r="N101" t="s">
        <v>55</v>
      </c>
      <c r="O101">
        <v>1.4699045933952291</v>
      </c>
      <c r="P101">
        <v>35.854188177993137</v>
      </c>
      <c r="Q101">
        <v>2689.4658084141779</v>
      </c>
      <c r="R101">
        <v>355.65097269822161</v>
      </c>
      <c r="S101">
        <v>237172.96242668599</v>
      </c>
      <c r="T101">
        <v>0.1518272290127633</v>
      </c>
      <c r="U101">
        <v>141740.86146187401</v>
      </c>
      <c r="W101" t="s">
        <v>81</v>
      </c>
      <c r="X101">
        <f t="shared" si="4"/>
        <v>1344.7329042070889</v>
      </c>
      <c r="Y101">
        <f t="shared" si="5"/>
        <v>1881.8725014974907</v>
      </c>
      <c r="Z101">
        <f>X101/Y101</f>
        <v>0.71457173806250129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Final_Day_Report</vt:lpstr>
      <vt:lpstr>Leverage_Analysis</vt:lpstr>
      <vt:lpstr>Leverage_Controls</vt:lpstr>
      <vt:lpstr>IVV_Timeseries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Lee, Rosario (HK)</cp:lastModifiedBy>
  <dcterms:created xsi:type="dcterms:W3CDTF">2025-09-20T13:59:24Z</dcterms:created>
  <dcterms:modified xsi:type="dcterms:W3CDTF">2025-09-21T04:15:20Z</dcterms:modified>
</cp:coreProperties>
</file>