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\PycharmProjects\PySystemTrade\pysystemtrade\perplexity_examples\"/>
    </mc:Choice>
  </mc:AlternateContent>
  <xr:revisionPtr revIDLastSave="0" documentId="13_ncr:1_{FB3546A0-ADC8-4183-A5BE-947FC1148241}" xr6:coauthVersionLast="47" xr6:coauthVersionMax="47" xr10:uidLastSave="{00000000-0000-0000-0000-000000000000}"/>
  <bookViews>
    <workbookView xWindow="19200" yWindow="0" windowWidth="19200" windowHeight="15600" xr2:uid="{00000000-000D-0000-FFFF-FFFF00000000}"/>
  </bookViews>
  <sheets>
    <sheet name="Final_Day_Report" sheetId="1" r:id="rId1"/>
    <sheet name="Leverage_Analysis" sheetId="2" r:id="rId2"/>
    <sheet name="Leverage_Control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1" i="1" l="1"/>
  <c r="Z31" i="1"/>
  <c r="Z29" i="1"/>
  <c r="Z23" i="1"/>
  <c r="Z18" i="1"/>
  <c r="Y33" i="1"/>
  <c r="Z33" i="1" s="1"/>
  <c r="Y32" i="1"/>
  <c r="Z32" i="1" s="1"/>
  <c r="Y31" i="1"/>
  <c r="Y30" i="1"/>
  <c r="Z30" i="1" s="1"/>
  <c r="Y29" i="1"/>
  <c r="Y28" i="1"/>
  <c r="Z28" i="1" s="1"/>
  <c r="Y27" i="1"/>
  <c r="Z27" i="1" s="1"/>
  <c r="Y26" i="1"/>
  <c r="Z26" i="1" s="1"/>
  <c r="Y25" i="1"/>
  <c r="Z25" i="1" s="1"/>
  <c r="Y24" i="1"/>
  <c r="Z24" i="1" s="1"/>
  <c r="Y23" i="1"/>
  <c r="Y22" i="1"/>
  <c r="Z22" i="1" s="1"/>
  <c r="Y21" i="1"/>
  <c r="Y20" i="1"/>
  <c r="Z20" i="1" s="1"/>
  <c r="Y19" i="1"/>
  <c r="Z19" i="1" s="1"/>
  <c r="Y18" i="1"/>
  <c r="Y17" i="1"/>
  <c r="Z17" i="1" s="1"/>
  <c r="Y16" i="1"/>
  <c r="Z16" i="1" s="1"/>
  <c r="Y15" i="1"/>
  <c r="Z15" i="1" s="1"/>
  <c r="Y14" i="1"/>
  <c r="Z14" i="1" s="1"/>
  <c r="Y13" i="1"/>
  <c r="Z13" i="1" s="1"/>
  <c r="Y12" i="1"/>
  <c r="Z12" i="1" s="1"/>
  <c r="Y11" i="1"/>
  <c r="Z11" i="1" s="1"/>
  <c r="Y10" i="1"/>
  <c r="Z10" i="1" s="1"/>
  <c r="Y9" i="1"/>
  <c r="Z9" i="1" s="1"/>
  <c r="Y8" i="1"/>
  <c r="Z8" i="1" s="1"/>
  <c r="Y7" i="1"/>
  <c r="Z7" i="1" s="1"/>
  <c r="Y6" i="1"/>
  <c r="Z6" i="1" s="1"/>
  <c r="Y5" i="1"/>
  <c r="Z5" i="1" s="1"/>
  <c r="Y4" i="1"/>
  <c r="Z4" i="1" s="1"/>
  <c r="Y3" i="1"/>
  <c r="Z3" i="1" s="1"/>
  <c r="Y2" i="1"/>
  <c r="Z2" i="1" s="1"/>
  <c r="AH3" i="1"/>
  <c r="AI3" i="1"/>
  <c r="AH4" i="1"/>
  <c r="AI4" i="1"/>
  <c r="AH5" i="1"/>
  <c r="AI5" i="1"/>
  <c r="AH6" i="1"/>
  <c r="AI6" i="1"/>
  <c r="AH7" i="1"/>
  <c r="AI7" i="1"/>
  <c r="AH8" i="1"/>
  <c r="AI8" i="1"/>
  <c r="AI2" i="1"/>
  <c r="AH2" i="1"/>
  <c r="AJ2" i="1" s="1"/>
  <c r="AA25" i="1"/>
  <c r="AB25" i="1"/>
  <c r="AC25" i="1"/>
  <c r="AA26" i="1"/>
  <c r="AB26" i="1"/>
  <c r="AC26" i="1"/>
  <c r="AA27" i="1"/>
  <c r="AB27" i="1"/>
  <c r="AC27" i="1"/>
  <c r="AA28" i="1"/>
  <c r="AB28" i="1"/>
  <c r="AC28" i="1"/>
  <c r="AA29" i="1"/>
  <c r="AB29" i="1"/>
  <c r="AC29" i="1"/>
  <c r="AA30" i="1"/>
  <c r="AB30" i="1"/>
  <c r="AC30" i="1"/>
  <c r="AA31" i="1"/>
  <c r="AB31" i="1"/>
  <c r="AC31" i="1"/>
  <c r="AA32" i="1"/>
  <c r="AB32" i="1"/>
  <c r="AC32" i="1"/>
  <c r="AA33" i="1"/>
  <c r="AB33" i="1"/>
  <c r="AC33" i="1"/>
  <c r="AA18" i="1"/>
  <c r="AB18" i="1"/>
  <c r="AC18" i="1"/>
  <c r="AA19" i="1"/>
  <c r="AB19" i="1"/>
  <c r="AC19" i="1"/>
  <c r="AA20" i="1"/>
  <c r="AB20" i="1"/>
  <c r="AC20" i="1"/>
  <c r="AA21" i="1"/>
  <c r="AB21" i="1"/>
  <c r="AC21" i="1"/>
  <c r="AA22" i="1"/>
  <c r="AB22" i="1"/>
  <c r="AC22" i="1"/>
  <c r="AD22" i="1" s="1"/>
  <c r="AA23" i="1"/>
  <c r="AB23" i="1"/>
  <c r="AC23" i="1"/>
  <c r="AA24" i="1"/>
  <c r="AB24" i="1"/>
  <c r="AC24" i="1"/>
  <c r="AA12" i="1"/>
  <c r="AB12" i="1"/>
  <c r="AC12" i="1"/>
  <c r="AA13" i="1"/>
  <c r="AB13" i="1"/>
  <c r="AC13" i="1"/>
  <c r="AA14" i="1"/>
  <c r="AB14" i="1"/>
  <c r="AC14" i="1"/>
  <c r="AD14" i="1" s="1"/>
  <c r="AA15" i="1"/>
  <c r="AB15" i="1"/>
  <c r="AC15" i="1"/>
  <c r="AA16" i="1"/>
  <c r="AB16" i="1"/>
  <c r="AC16" i="1"/>
  <c r="AA17" i="1"/>
  <c r="AB17" i="1"/>
  <c r="AC17" i="1"/>
  <c r="AA3" i="1"/>
  <c r="AB3" i="1"/>
  <c r="AC3" i="1"/>
  <c r="AA4" i="1"/>
  <c r="AB4" i="1"/>
  <c r="AC4" i="1"/>
  <c r="AA5" i="1"/>
  <c r="AB5" i="1"/>
  <c r="AC5" i="1"/>
  <c r="AA6" i="1"/>
  <c r="AB6" i="1"/>
  <c r="AC6" i="1"/>
  <c r="AA7" i="1"/>
  <c r="AB7" i="1"/>
  <c r="AC7" i="1"/>
  <c r="AA8" i="1"/>
  <c r="AB8" i="1"/>
  <c r="AC8" i="1"/>
  <c r="AA9" i="1"/>
  <c r="AB9" i="1"/>
  <c r="AC9" i="1"/>
  <c r="AD9" i="1" s="1"/>
  <c r="AE9" i="1" s="1"/>
  <c r="AF9" i="1" s="1"/>
  <c r="AA10" i="1"/>
  <c r="AB10" i="1"/>
  <c r="AC10" i="1"/>
  <c r="AA11" i="1"/>
  <c r="AB11" i="1"/>
  <c r="AC11" i="1"/>
  <c r="AC2" i="1"/>
  <c r="AB2" i="1"/>
  <c r="AA2" i="1"/>
  <c r="W33" i="1"/>
  <c r="X33" i="1" s="1"/>
  <c r="W32" i="1"/>
  <c r="X32" i="1" s="1"/>
  <c r="W31" i="1"/>
  <c r="X31" i="1" s="1"/>
  <c r="W30" i="1"/>
  <c r="X30" i="1" s="1"/>
  <c r="W29" i="1"/>
  <c r="X29" i="1" s="1"/>
  <c r="W28" i="1"/>
  <c r="X28" i="1" s="1"/>
  <c r="W27" i="1"/>
  <c r="X27" i="1" s="1"/>
  <c r="W26" i="1"/>
  <c r="X26" i="1" s="1"/>
  <c r="W25" i="1"/>
  <c r="X25" i="1" s="1"/>
  <c r="W24" i="1"/>
  <c r="X24" i="1" s="1"/>
  <c r="W23" i="1"/>
  <c r="X23" i="1" s="1"/>
  <c r="W22" i="1"/>
  <c r="X22" i="1" s="1"/>
  <c r="W21" i="1"/>
  <c r="X21" i="1" s="1"/>
  <c r="W20" i="1"/>
  <c r="X20" i="1" s="1"/>
  <c r="W19" i="1"/>
  <c r="X19" i="1" s="1"/>
  <c r="W18" i="1"/>
  <c r="X18" i="1" s="1"/>
  <c r="W17" i="1"/>
  <c r="X17" i="1" s="1"/>
  <c r="W16" i="1"/>
  <c r="X16" i="1" s="1"/>
  <c r="W15" i="1"/>
  <c r="X15" i="1" s="1"/>
  <c r="W14" i="1"/>
  <c r="X14" i="1" s="1"/>
  <c r="W13" i="1"/>
  <c r="X13" i="1" s="1"/>
  <c r="W12" i="1"/>
  <c r="X12" i="1" s="1"/>
  <c r="W11" i="1"/>
  <c r="X11" i="1" s="1"/>
  <c r="W10" i="1"/>
  <c r="X10" i="1" s="1"/>
  <c r="W9" i="1"/>
  <c r="X9" i="1" s="1"/>
  <c r="W8" i="1"/>
  <c r="X8" i="1" s="1"/>
  <c r="W7" i="1"/>
  <c r="X7" i="1" s="1"/>
  <c r="W6" i="1"/>
  <c r="X6" i="1" s="1"/>
  <c r="W5" i="1"/>
  <c r="X5" i="1" s="1"/>
  <c r="W4" i="1"/>
  <c r="X4" i="1" s="1"/>
  <c r="W3" i="1"/>
  <c r="X3" i="1" s="1"/>
  <c r="W2" i="1"/>
  <c r="X2" i="1" s="1"/>
  <c r="AD18" i="1" l="1"/>
  <c r="AE18" i="1" s="1"/>
  <c r="AF18" i="1" s="1"/>
  <c r="AD2" i="1"/>
  <c r="AE14" i="1"/>
  <c r="AF14" i="1" s="1"/>
  <c r="AK2" i="1"/>
  <c r="AD7" i="1"/>
  <c r="AE7" i="1" s="1"/>
  <c r="AF7" i="1" s="1"/>
  <c r="AD24" i="1"/>
  <c r="AD6" i="1"/>
  <c r="AD5" i="1"/>
  <c r="AE5" i="1" s="1"/>
  <c r="AF5" i="1" s="1"/>
  <c r="AD15" i="1"/>
  <c r="AE15" i="1" s="1"/>
  <c r="AF15" i="1" s="1"/>
  <c r="AJ8" i="1"/>
  <c r="AK8" i="1" s="1"/>
  <c r="AD17" i="1"/>
  <c r="AE6" i="1"/>
  <c r="AF6" i="1" s="1"/>
  <c r="AD10" i="1"/>
  <c r="AD21" i="1"/>
  <c r="AE21" i="1" s="1"/>
  <c r="AF21" i="1" s="1"/>
  <c r="AD23" i="1"/>
  <c r="AE23" i="1" s="1"/>
  <c r="AF23" i="1" s="1"/>
  <c r="AE22" i="1"/>
  <c r="AF22" i="1" s="1"/>
  <c r="AJ4" i="1"/>
  <c r="AK4" i="1" s="1"/>
  <c r="AD11" i="1"/>
  <c r="AE11" i="1" s="1"/>
  <c r="AF11" i="1" s="1"/>
  <c r="AD33" i="1"/>
  <c r="AE33" i="1" s="1"/>
  <c r="AF33" i="1" s="1"/>
  <c r="AD25" i="1"/>
  <c r="AE25" i="1" s="1"/>
  <c r="AF25" i="1" s="1"/>
  <c r="AE10" i="1"/>
  <c r="AF10" i="1" s="1"/>
  <c r="AE24" i="1"/>
  <c r="AF24" i="1" s="1"/>
  <c r="AD29" i="1"/>
  <c r="AE29" i="1" s="1"/>
  <c r="AF29" i="1" s="1"/>
  <c r="AJ6" i="1"/>
  <c r="AK6" i="1" s="1"/>
  <c r="AD13" i="1"/>
  <c r="AE13" i="1" s="1"/>
  <c r="AF13" i="1" s="1"/>
  <c r="AJ5" i="1"/>
  <c r="AK5" i="1" s="1"/>
  <c r="AD31" i="1"/>
  <c r="AE31" i="1" s="1"/>
  <c r="AF31" i="1" s="1"/>
  <c r="AE2" i="1"/>
  <c r="AF2" i="1" s="1"/>
  <c r="AD4" i="1"/>
  <c r="AE4" i="1" s="1"/>
  <c r="AF4" i="1" s="1"/>
  <c r="AE17" i="1"/>
  <c r="AF17" i="1" s="1"/>
  <c r="AD19" i="1"/>
  <c r="AE19" i="1" s="1"/>
  <c r="AF19" i="1" s="1"/>
  <c r="AD27" i="1"/>
  <c r="AJ7" i="1"/>
  <c r="AK7" i="1" s="1"/>
  <c r="AJ3" i="1"/>
  <c r="AK3" i="1" s="1"/>
  <c r="AE27" i="1"/>
  <c r="AF27" i="1" s="1"/>
  <c r="AD3" i="1"/>
  <c r="AE3" i="1" s="1"/>
  <c r="AF3" i="1" s="1"/>
  <c r="AD26" i="1"/>
  <c r="AE26" i="1" s="1"/>
  <c r="AF26" i="1" s="1"/>
  <c r="AD32" i="1"/>
  <c r="AE32" i="1" s="1"/>
  <c r="AF32" i="1" s="1"/>
  <c r="AD30" i="1"/>
  <c r="AE30" i="1" s="1"/>
  <c r="AF30" i="1" s="1"/>
  <c r="AD20" i="1"/>
  <c r="AE20" i="1" s="1"/>
  <c r="AF20" i="1" s="1"/>
  <c r="AD12" i="1"/>
  <c r="AE12" i="1" s="1"/>
  <c r="AF12" i="1" s="1"/>
  <c r="AD28" i="1"/>
  <c r="AE28" i="1" s="1"/>
  <c r="AF28" i="1" s="1"/>
  <c r="AD8" i="1"/>
  <c r="AE8" i="1" s="1"/>
  <c r="AF8" i="1" s="1"/>
  <c r="AD16" i="1"/>
  <c r="AE16" i="1" s="1"/>
  <c r="AF16" i="1" s="1"/>
</calcChain>
</file>

<file path=xl/sharedStrings.xml><?xml version="1.0" encoding="utf-8"?>
<sst xmlns="http://schemas.openxmlformats.org/spreadsheetml/2006/main" count="118" uniqueCount="85">
  <si>
    <t>Instrument</t>
  </si>
  <si>
    <t>Date</t>
  </si>
  <si>
    <t>Close_Price [EXTRACTED]</t>
  </si>
  <si>
    <t>Risk_Weight_Config [EXTRACTED]</t>
  </si>
  <si>
    <t>Daily_Volatility_Pct [CALCULATED/EXTRACTED]</t>
  </si>
  <si>
    <t>Daily_Volatility_Decimal [CALCULATED/EXTRACTED]</t>
  </si>
  <si>
    <t>Annual_Volatility_Pct [CALCULATED]</t>
  </si>
  <si>
    <t>Annual_Volatility_Decimal [CALCULATED]</t>
  </si>
  <si>
    <t>Target_Volatility [CONFIG]</t>
  </si>
  <si>
    <t>Daily_Cash_Vol_Target [CALCULATED]</t>
  </si>
  <si>
    <t>Portfolio_Value [EXTRACTED]</t>
  </si>
  <si>
    <t>Combined_Forecast [EXTRACTED]</t>
  </si>
  <si>
    <t>Volatility_Scalar [EXTRACTED/CALCULATED]</t>
  </si>
  <si>
    <t>Volatility_Scalar_Source [INFO]</t>
  </si>
  <si>
    <t>IDM [EXTRACTED]</t>
  </si>
  <si>
    <t>Instrument_Value_Volatility [CALCULATED]</t>
  </si>
  <si>
    <t>Subsystem_Position [EXTRACTED]</t>
  </si>
  <si>
    <t>Notional_Position [EXTRACTED]</t>
  </si>
  <si>
    <t>Position_Value [CALCULATED]</t>
  </si>
  <si>
    <t>Leverage_Contribution [CALCULATED]</t>
  </si>
  <si>
    <t>Risk_Exposure [CALCULATED]</t>
  </si>
  <si>
    <t>BBAX</t>
  </si>
  <si>
    <t>BWX</t>
  </si>
  <si>
    <t>CMBS</t>
  </si>
  <si>
    <t>EMB</t>
  </si>
  <si>
    <t>EMHY</t>
  </si>
  <si>
    <t>EMLC</t>
  </si>
  <si>
    <t>EPOL</t>
  </si>
  <si>
    <t>EZA</t>
  </si>
  <si>
    <t>FLCA</t>
  </si>
  <si>
    <t>FLJP</t>
  </si>
  <si>
    <t>HYD</t>
  </si>
  <si>
    <t>HYLB</t>
  </si>
  <si>
    <t>IAU</t>
  </si>
  <si>
    <t>ICVT</t>
  </si>
  <si>
    <t>IEMG</t>
  </si>
  <si>
    <t>IHY</t>
  </si>
  <si>
    <t>ILF</t>
  </si>
  <si>
    <t>IVV</t>
  </si>
  <si>
    <t>KSA</t>
  </si>
  <si>
    <t>PICB</t>
  </si>
  <si>
    <t>SCHO</t>
  </si>
  <si>
    <t>SCHP</t>
  </si>
  <si>
    <t>SCHR</t>
  </si>
  <si>
    <t>SPHY</t>
  </si>
  <si>
    <t>SPSB</t>
  </si>
  <si>
    <t>SPTL</t>
  </si>
  <si>
    <t>VCIT</t>
  </si>
  <si>
    <t>VCLT</t>
  </si>
  <si>
    <t>VGK</t>
  </si>
  <si>
    <t>VMBS</t>
  </si>
  <si>
    <t>VWOB</t>
  </si>
  <si>
    <t>WIP</t>
  </si>
  <si>
    <t>CALCULATED</t>
  </si>
  <si>
    <t>Metric</t>
  </si>
  <si>
    <t>Value</t>
  </si>
  <si>
    <t>Actual Trading Capital</t>
  </si>
  <si>
    <t>Total Position Value</t>
  </si>
  <si>
    <t>Actual Leverage Ratio</t>
  </si>
  <si>
    <t>Capital Multiplier</t>
  </si>
  <si>
    <t>Risk-Adjusted Leverage</t>
  </si>
  <si>
    <t>Leverage Status</t>
  </si>
  <si>
    <t>$1,510,299.92</t>
  </si>
  <si>
    <t>$3,066,932.44</t>
  </si>
  <si>
    <t>2.03x</t>
  </si>
  <si>
    <t>0.060x</t>
  </si>
  <si>
    <t>HIGH</t>
  </si>
  <si>
    <t>Control_Check</t>
  </si>
  <si>
    <t>Status</t>
  </si>
  <si>
    <t>Overall Leverage</t>
  </si>
  <si>
    <t>Risk Leverage</t>
  </si>
  <si>
    <t>Position Concentration</t>
  </si>
  <si>
    <t>⚠️ CAUTION - Moderate leverage</t>
  </si>
  <si>
    <t>⚠️ CAUTION - Moderate multiplier</t>
  </si>
  <si>
    <t>✅ PASS - Risk-appropriate leverage</t>
  </si>
  <si>
    <t>✅ PASS - Well diversified</t>
  </si>
  <si>
    <t>Combined Forecast</t>
  </si>
  <si>
    <t>Calculate Daily Cash Volatility Target</t>
  </si>
  <si>
    <t>Get Instrument Value Volatility</t>
  </si>
  <si>
    <t>Calculate Volatility Scalar</t>
  </si>
  <si>
    <t>Calculate Subsystem Position</t>
  </si>
  <si>
    <t>Calculate Subsystem Position / Actual Subsystem Position</t>
  </si>
  <si>
    <t>daily cash vol target</t>
  </si>
  <si>
    <t>Instrument value vol</t>
  </si>
  <si>
    <t>volatility scalar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</si>
</sst>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\$#,##0.00"/>
    <numFmt numFmtId="166" formatCode="0.0000"/>
    <numFmt numFmtId="167" formatCode="yyyy\-mm\-dd\ hh:mm:ss"/>
    <numFmt numFmtId="168" formatCode="#,##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2" fontId="0" fillId="0" borderId="0" xfId="0" applyNumberFormat="1"/>
    <xf numFmtId="166" fontId="0" fillId="0" borderId="0" xfId="0" applyNumberFormat="1"/>
    <xf numFmtId="4" fontId="0" fillId="0" borderId="0" xfId="0" applyNumberFormat="1"/>
    <xf numFmtId="4" fontId="0" fillId="2" borderId="0" xfId="0" applyNumberFormat="1" applyFill="1"/>
    <xf numFmtId="166" fontId="0" fillId="2" borderId="0" xfId="0" applyNumberFormat="1" applyFill="1"/>
    <xf numFmtId="165" fontId="0" fillId="2" borderId="0" xfId="0" applyNumberFormat="1" applyFill="1"/>
    <xf numFmtId="0" fontId="1" fillId="0" borderId="1" xfId="0" applyFont="1" applyBorder="1" applyAlignment="1">
      <alignment horizontal="center" vertical="top"/>
    </xf>
    <xf numFmtId="167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168" fontId="0" fillId="0" borderId="0" xfId="0" applyNumberFormat="1"/>
    <xf numFmtId="0" fontId="1" fillId="0" borderId="0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3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5" sqref="E5"/>
    </sheetView>
  </sheetViews>
  <sheetFormatPr defaultRowHeight="15" x14ac:dyDescent="0.25"/>
  <cols>
    <col min="1" max="1" width="12.7109375" customWidth="1"/>
    <col min="2" max="2" width="12.7109375" style="1" customWidth="1"/>
    <col min="3" max="3" width="12.7109375" style="2" customWidth="1"/>
    <col min="4" max="4" width="12.7109375" style="3" customWidth="1"/>
    <col min="5" max="5" width="15.7109375" style="4" customWidth="1"/>
    <col min="6" max="6" width="15.7109375" style="5" customWidth="1"/>
    <col min="7" max="7" width="15.7109375" style="4" customWidth="1"/>
    <col min="8" max="8" width="15.7109375" style="5" customWidth="1"/>
    <col min="9" max="9" width="12.7109375" style="3" customWidth="1"/>
    <col min="10" max="10" width="15.7109375" style="6" customWidth="1"/>
    <col min="11" max="11" width="15.7109375" style="2" customWidth="1"/>
    <col min="12" max="12" width="15.7109375" style="7" customWidth="1"/>
    <col min="13" max="13" width="15.7109375" style="8" customWidth="1"/>
    <col min="14" max="14" width="15.7109375" customWidth="1"/>
    <col min="15" max="15" width="12.7109375" style="8" customWidth="1"/>
    <col min="16" max="16" width="15.7109375" style="9" customWidth="1"/>
    <col min="17" max="18" width="15.7109375" style="6" customWidth="1"/>
    <col min="19" max="19" width="15.7109375" style="2" customWidth="1"/>
    <col min="20" max="20" width="15.7109375" style="3" customWidth="1"/>
    <col min="21" max="22" width="15.7109375" style="2" customWidth="1"/>
    <col min="27" max="31" width="15.85546875" customWidth="1"/>
    <col min="32" max="32" width="15.5703125" customWidth="1"/>
  </cols>
  <sheetData>
    <row r="1" spans="1:37" s="13" customFormat="1" ht="90.75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7"/>
      <c r="AA1" s="14" t="s">
        <v>76</v>
      </c>
      <c r="AB1" s="14" t="s">
        <v>77</v>
      </c>
      <c r="AC1" s="14" t="s">
        <v>78</v>
      </c>
      <c r="AD1" s="14" t="s">
        <v>79</v>
      </c>
      <c r="AE1" s="14" t="s">
        <v>80</v>
      </c>
      <c r="AF1" s="15" t="s">
        <v>81</v>
      </c>
      <c r="AH1" s="13" t="s">
        <v>82</v>
      </c>
      <c r="AI1" s="13" t="s">
        <v>83</v>
      </c>
      <c r="AJ1" s="13" t="s">
        <v>84</v>
      </c>
    </row>
    <row r="2" spans="1:37" x14ac:dyDescent="0.25">
      <c r="A2" t="s">
        <v>21</v>
      </c>
      <c r="B2" s="11">
        <v>45905</v>
      </c>
      <c r="C2" s="2">
        <v>56.680000305175781</v>
      </c>
      <c r="D2" s="3">
        <v>6.7473010795681729E-2</v>
      </c>
      <c r="E2" s="4">
        <v>0.70235325334337251</v>
      </c>
      <c r="F2" s="5">
        <v>7.023532533433725E-3</v>
      </c>
      <c r="G2" s="4">
        <v>11.149512245182249</v>
      </c>
      <c r="H2" s="5">
        <v>0.1114951224518225</v>
      </c>
      <c r="I2" s="3">
        <v>0.12</v>
      </c>
      <c r="J2" s="6">
        <v>11327.249391709171</v>
      </c>
      <c r="K2" s="2">
        <v>1510299.918894555</v>
      </c>
      <c r="L2" s="7">
        <v>9.8077016260016059</v>
      </c>
      <c r="M2" s="8">
        <v>1.076280265550204</v>
      </c>
      <c r="N2" t="s">
        <v>53</v>
      </c>
      <c r="O2" s="8">
        <v>1.436703800896499</v>
      </c>
      <c r="P2" s="9">
        <v>0.39809382613843558</v>
      </c>
      <c r="Q2" s="6">
        <v>18477.493838207029</v>
      </c>
      <c r="R2" s="6">
        <v>1791.1848060026689</v>
      </c>
      <c r="S2" s="2">
        <v>101524.3553508575</v>
      </c>
      <c r="T2" s="3">
        <v>6.7221320799094625E-2</v>
      </c>
      <c r="U2" s="2">
        <v>713.05961274263404</v>
      </c>
      <c r="W2">
        <f>L2/10*M2*(K2/C2)</f>
        <v>28127.166075423527</v>
      </c>
      <c r="X2">
        <f>Q2/W2</f>
        <v>0.65692696479479229</v>
      </c>
      <c r="Y2">
        <f>L2/10*M2*(1000000/C2)</f>
        <v>18623.563256237776</v>
      </c>
      <c r="Z2" s="16">
        <f>Q2/Y2</f>
        <v>0.99215674164922107</v>
      </c>
      <c r="AA2" s="6">
        <f>L2</f>
        <v>9.8077016260016059</v>
      </c>
      <c r="AB2">
        <f>I2*K2/16</f>
        <v>11327.249391709162</v>
      </c>
      <c r="AC2">
        <f>H2*C2</f>
        <v>6.3195435745949107</v>
      </c>
      <c r="AD2">
        <f>AB2/AC2</f>
        <v>1792.4157430048656</v>
      </c>
      <c r="AE2">
        <f>(AA2/10)*AD2</f>
        <v>1757.9478797139698</v>
      </c>
      <c r="AF2">
        <f>AE2/Q2</f>
        <v>9.513995215514319E-2</v>
      </c>
      <c r="AH2">
        <f>K2*I2/SQRT(252)</f>
        <v>11416.794258617181</v>
      </c>
      <c r="AI2">
        <f>C2*F2</f>
        <v>0.39809382613843558</v>
      </c>
      <c r="AJ2">
        <f>AH2/AI2</f>
        <v>28678.651888077849</v>
      </c>
      <c r="AK2">
        <f>AJ2*AA2/10</f>
        <v>28127.166075423516</v>
      </c>
    </row>
    <row r="3" spans="1:37" x14ac:dyDescent="0.25">
      <c r="A3" t="s">
        <v>22</v>
      </c>
      <c r="B3" s="11">
        <v>45905</v>
      </c>
      <c r="C3" s="2">
        <v>23.059999465942379</v>
      </c>
      <c r="D3" s="3">
        <v>8.5065973610555776E-2</v>
      </c>
      <c r="E3" s="4">
        <v>0.52344821896074933</v>
      </c>
      <c r="F3" s="5">
        <v>5.2344821896074933E-3</v>
      </c>
      <c r="G3" s="4">
        <v>8.3094828695389644</v>
      </c>
      <c r="H3" s="5">
        <v>8.3094828695389644E-2</v>
      </c>
      <c r="I3" s="3">
        <v>0.12</v>
      </c>
      <c r="J3" s="6">
        <v>11327.249391709171</v>
      </c>
      <c r="K3" s="2">
        <v>1510299.918894555</v>
      </c>
      <c r="L3" s="7">
        <v>8.759678537548016</v>
      </c>
      <c r="M3" s="8">
        <v>1.444133189562228</v>
      </c>
      <c r="N3" t="s">
        <v>53</v>
      </c>
      <c r="O3" s="8">
        <v>1.436703800896499</v>
      </c>
      <c r="P3" s="9">
        <v>0.1207071564968337</v>
      </c>
      <c r="Q3" s="6">
        <v>54427.252648713868</v>
      </c>
      <c r="R3" s="6">
        <v>6651.8053259622357</v>
      </c>
      <c r="S3" s="2">
        <v>153390.62726424189</v>
      </c>
      <c r="T3" s="3">
        <v>0.10156302423462631</v>
      </c>
      <c r="U3" s="2">
        <v>802.92050646739563</v>
      </c>
      <c r="W3">
        <f>L3/10*M3*(K3/C3)</f>
        <v>82851.299406952443</v>
      </c>
      <c r="X3">
        <f>Q3/W3</f>
        <v>0.65692696479479262</v>
      </c>
      <c r="Y3">
        <f>L3/10*M3*(1000000/C3)</f>
        <v>54857.514305896548</v>
      </c>
      <c r="Z3" s="16">
        <f>Q3/Y3</f>
        <v>0.99215674164922141</v>
      </c>
      <c r="AA3" s="6">
        <f>L3</f>
        <v>8.759678537548016</v>
      </c>
      <c r="AB3">
        <f>I3*K3/16</f>
        <v>11327.249391709162</v>
      </c>
      <c r="AC3">
        <f>H3*C3</f>
        <v>1.9161667053382587</v>
      </c>
      <c r="AD3">
        <f t="shared" ref="AD3:AD11" si="0">AB3/AC3</f>
        <v>5911.4112358556895</v>
      </c>
      <c r="AE3">
        <f t="shared" ref="AE3:AE11" si="1">(AA3/10)*AD3</f>
        <v>5178.2062129345277</v>
      </c>
      <c r="AF3">
        <f>AE3/Q3</f>
        <v>9.513995215514319E-2</v>
      </c>
      <c r="AH3">
        <f>K3*I3/SQRT(252)</f>
        <v>11416.794258617181</v>
      </c>
      <c r="AI3">
        <f>C3*F3</f>
        <v>0.1207071564968337</v>
      </c>
      <c r="AJ3">
        <f t="shared" ref="AJ3:AJ8" si="2">AH3/AI3</f>
        <v>94582.579773691032</v>
      </c>
      <c r="AK3">
        <f t="shared" ref="AK3:AK8" si="3">AJ3*AA3/10</f>
        <v>82851.299406952443</v>
      </c>
    </row>
    <row r="4" spans="1:37" x14ac:dyDescent="0.25">
      <c r="A4" t="s">
        <v>23</v>
      </c>
      <c r="B4" s="11">
        <v>45905</v>
      </c>
      <c r="C4" s="2">
        <v>49.029998779296882</v>
      </c>
      <c r="D4" s="3">
        <v>5.4978008796481414E-3</v>
      </c>
      <c r="E4" s="4">
        <v>0.26381688756211291</v>
      </c>
      <c r="F4" s="5">
        <v>2.6381688756211292E-3</v>
      </c>
      <c r="G4" s="4">
        <v>4.1879632568906384</v>
      </c>
      <c r="H4" s="5">
        <v>4.1879632568906387E-2</v>
      </c>
      <c r="I4" s="3">
        <v>0.12</v>
      </c>
      <c r="J4" s="6">
        <v>11327.249391709171</v>
      </c>
      <c r="K4" s="2">
        <v>1510299.918894555</v>
      </c>
      <c r="L4" s="7">
        <v>17.3485558696791</v>
      </c>
      <c r="M4" s="8">
        <v>2.865354651871856</v>
      </c>
      <c r="N4" t="s">
        <v>53</v>
      </c>
      <c r="O4" s="8">
        <v>1.436703800896499</v>
      </c>
      <c r="P4" s="9">
        <v>0.129349416751283</v>
      </c>
      <c r="Q4" s="6">
        <v>100591.2297793973</v>
      </c>
      <c r="R4" s="6">
        <v>794.5410954507405</v>
      </c>
      <c r="S4" s="2">
        <v>38956.348940051023</v>
      </c>
      <c r="T4" s="3">
        <v>2.5793783375532859E-2</v>
      </c>
      <c r="U4" s="2">
        <v>102.7734272814787</v>
      </c>
      <c r="W4">
        <f>L4/10*M4*(K4/C4)</f>
        <v>153123.91661502194</v>
      </c>
      <c r="X4">
        <f>Q4/W4</f>
        <v>0.65692696479479273</v>
      </c>
      <c r="Y4">
        <f>L4/10*M4*(1000000/C4)</f>
        <v>101386.42974111994</v>
      </c>
      <c r="Z4" s="16">
        <f>Q4/Y4</f>
        <v>0.99215674164922163</v>
      </c>
      <c r="AA4" s="6">
        <f>L4</f>
        <v>17.3485558696791</v>
      </c>
      <c r="AB4">
        <f>I4*K4/16</f>
        <v>11327.249391709162</v>
      </c>
      <c r="AC4">
        <f>H4*C4</f>
        <v>2.0533583337308823</v>
      </c>
      <c r="AD4">
        <f t="shared" si="0"/>
        <v>5516.4503952546529</v>
      </c>
      <c r="AE4">
        <f t="shared" si="1"/>
        <v>9570.2447884388694</v>
      </c>
      <c r="AF4">
        <f>AE4/Q4</f>
        <v>9.5139952155143148E-2</v>
      </c>
      <c r="AH4">
        <f>K4*I4/SQRT(252)</f>
        <v>11416.794258617181</v>
      </c>
      <c r="AI4">
        <f>C4*F4</f>
        <v>0.129349416751283</v>
      </c>
      <c r="AJ4">
        <f t="shared" si="2"/>
        <v>88263.206324074432</v>
      </c>
      <c r="AK4">
        <f t="shared" si="3"/>
        <v>153123.91661502188</v>
      </c>
    </row>
    <row r="5" spans="1:37" x14ac:dyDescent="0.25">
      <c r="A5" t="s">
        <v>24</v>
      </c>
      <c r="B5" s="11">
        <v>45905</v>
      </c>
      <c r="C5" s="2">
        <v>94.760002136230483</v>
      </c>
      <c r="D5" s="3">
        <v>5.0579768092762899E-2</v>
      </c>
      <c r="E5" s="4">
        <v>0.37166095481598022</v>
      </c>
      <c r="F5" s="5">
        <v>3.7166095481598019E-3</v>
      </c>
      <c r="G5" s="4">
        <v>5.8999347508553832</v>
      </c>
      <c r="H5" s="5">
        <v>5.8999347508553832E-2</v>
      </c>
      <c r="I5" s="3">
        <v>0.12</v>
      </c>
      <c r="J5" s="6">
        <v>11327.249391709171</v>
      </c>
      <c r="K5" s="2">
        <v>1510299.918894555</v>
      </c>
      <c r="L5" s="7">
        <v>19.621634862259679</v>
      </c>
      <c r="M5" s="8">
        <v>2.0339207985749699</v>
      </c>
      <c r="N5" t="s">
        <v>53</v>
      </c>
      <c r="O5" s="8">
        <v>1.436703800896499</v>
      </c>
      <c r="P5" s="9">
        <v>0.35218592872315752</v>
      </c>
      <c r="Q5" s="6">
        <v>41785.389325598902</v>
      </c>
      <c r="R5" s="6">
        <v>3036.4667332226231</v>
      </c>
      <c r="S5" s="2">
        <v>287735.59412676858</v>
      </c>
      <c r="T5" s="3">
        <v>0.19051553305874039</v>
      </c>
      <c r="U5" s="2">
        <v>1069.400856476982</v>
      </c>
      <c r="W5">
        <f>L5/10*M5*(K5/C5)</f>
        <v>63607.359059544142</v>
      </c>
      <c r="X5">
        <f>Q5/W5</f>
        <v>0.65692696479479284</v>
      </c>
      <c r="Y5">
        <f>L5/10*M5*(1000000/C5)</f>
        <v>42115.713749160997</v>
      </c>
      <c r="Z5" s="16">
        <f>Q5/Y5</f>
        <v>0.99215674164922174</v>
      </c>
      <c r="AA5" s="6">
        <f>L5</f>
        <v>19.621634862259679</v>
      </c>
      <c r="AB5">
        <f>I5*K5/16</f>
        <v>11327.249391709162</v>
      </c>
      <c r="AC5">
        <f>H5*C5</f>
        <v>5.590778295946766</v>
      </c>
      <c r="AD5">
        <f t="shared" si="0"/>
        <v>2026.0594844051059</v>
      </c>
      <c r="AE5">
        <f t="shared" si="1"/>
        <v>3975.4599412215093</v>
      </c>
      <c r="AF5">
        <f>AE5/Q5</f>
        <v>9.5139952155143162E-2</v>
      </c>
      <c r="AH5">
        <f>K5*I5/SQRT(252)</f>
        <v>11416.794258617181</v>
      </c>
      <c r="AI5">
        <f>C5*F5</f>
        <v>0.35218592872315746</v>
      </c>
      <c r="AJ5">
        <f t="shared" si="2"/>
        <v>32416.951750481698</v>
      </c>
      <c r="AK5">
        <f t="shared" si="3"/>
        <v>63607.359059544164</v>
      </c>
    </row>
    <row r="6" spans="1:37" x14ac:dyDescent="0.25">
      <c r="A6" t="s">
        <v>25</v>
      </c>
      <c r="B6" s="11">
        <v>45905</v>
      </c>
      <c r="C6" s="2">
        <v>39.810001373291023</v>
      </c>
      <c r="D6" s="3">
        <v>1.859256297481008E-2</v>
      </c>
      <c r="E6" s="4">
        <v>0.35826858766292102</v>
      </c>
      <c r="F6" s="5">
        <v>3.5826858766292101E-3</v>
      </c>
      <c r="G6" s="4">
        <v>5.6873375131345956</v>
      </c>
      <c r="H6" s="5">
        <v>5.6873375131345959E-2</v>
      </c>
      <c r="I6" s="3">
        <v>0.12</v>
      </c>
      <c r="J6" s="6">
        <v>11327.249391709171</v>
      </c>
      <c r="K6" s="2">
        <v>1510299.918894555</v>
      </c>
      <c r="L6" s="7">
        <v>18.301516309482519</v>
      </c>
      <c r="M6" s="8">
        <v>2.109950389314271</v>
      </c>
      <c r="N6" t="s">
        <v>53</v>
      </c>
      <c r="O6" s="8">
        <v>1.436703800896499</v>
      </c>
      <c r="P6" s="9">
        <v>0.1426267296686792</v>
      </c>
      <c r="Q6" s="6">
        <v>96238.182450075139</v>
      </c>
      <c r="R6" s="6">
        <v>2570.7148968773849</v>
      </c>
      <c r="S6" s="2">
        <v>102340.1635750284</v>
      </c>
      <c r="T6" s="3">
        <v>6.7761483858076982E-2</v>
      </c>
      <c r="U6" s="2">
        <v>366.65265865217742</v>
      </c>
      <c r="W6">
        <f>L6/10*M6*(K6/C6)</f>
        <v>146497.53718076934</v>
      </c>
      <c r="X6">
        <f>Q6/W6</f>
        <v>0.65692696479479296</v>
      </c>
      <c r="Y6">
        <f>L6/10*M6*(1000000/C6)</f>
        <v>96998.970434955976</v>
      </c>
      <c r="Z6" s="16">
        <f>Q6/Y6</f>
        <v>0.99215674164922196</v>
      </c>
      <c r="AA6" s="6">
        <f>L6</f>
        <v>18.301516309482519</v>
      </c>
      <c r="AB6">
        <f>I6*K6/16</f>
        <v>11327.249391709162</v>
      </c>
      <c r="AC6">
        <f>H6*C6</f>
        <v>2.2641291420825782</v>
      </c>
      <c r="AD6">
        <f t="shared" si="0"/>
        <v>5002.9166539900616</v>
      </c>
      <c r="AE6">
        <f t="shared" si="1"/>
        <v>9156.0960737980822</v>
      </c>
      <c r="AF6">
        <f>AE6/Q6</f>
        <v>9.5139952155143107E-2</v>
      </c>
      <c r="AH6">
        <f>K6*I6/SQRT(252)</f>
        <v>11416.794258617181</v>
      </c>
      <c r="AI6">
        <f>C6*F6</f>
        <v>0.1426267296686792</v>
      </c>
      <c r="AJ6">
        <f t="shared" si="2"/>
        <v>80046.666463841015</v>
      </c>
      <c r="AK6">
        <f t="shared" si="3"/>
        <v>146497.53718076937</v>
      </c>
    </row>
    <row r="7" spans="1:37" x14ac:dyDescent="0.25">
      <c r="A7" t="s">
        <v>26</v>
      </c>
      <c r="B7" s="11">
        <v>45905</v>
      </c>
      <c r="C7" s="2">
        <v>25.329999923706051</v>
      </c>
      <c r="D7" s="3">
        <v>1.859256297481008E-2</v>
      </c>
      <c r="E7" s="4">
        <v>0.40815889635971592</v>
      </c>
      <c r="F7" s="5">
        <v>4.0815889635971592E-3</v>
      </c>
      <c r="G7" s="4">
        <v>6.4793216109983689</v>
      </c>
      <c r="H7" s="5">
        <v>6.479321610998369E-2</v>
      </c>
      <c r="I7" s="3">
        <v>0.12</v>
      </c>
      <c r="J7" s="6">
        <v>11327.249391709171</v>
      </c>
      <c r="K7" s="2">
        <v>1510299.918894555</v>
      </c>
      <c r="L7" s="7">
        <v>11.20406392739836</v>
      </c>
      <c r="M7" s="8">
        <v>1.852045741892256</v>
      </c>
      <c r="N7" t="s">
        <v>53</v>
      </c>
      <c r="O7" s="8">
        <v>1.436703800896499</v>
      </c>
      <c r="P7" s="9">
        <v>0.1033866481365155</v>
      </c>
      <c r="Q7" s="6">
        <v>81277.883527600978</v>
      </c>
      <c r="R7" s="6">
        <v>2171.0953038775492</v>
      </c>
      <c r="S7" s="2">
        <v>54993.843881576868</v>
      </c>
      <c r="T7" s="3">
        <v>3.6412531837933818E-2</v>
      </c>
      <c r="U7" s="2">
        <v>224.46226625282929</v>
      </c>
      <c r="W7">
        <f>L7/10*M7*(K7/C7)</f>
        <v>123724.38320139609</v>
      </c>
      <c r="X7">
        <f>Q7/W7</f>
        <v>0.65692696479479273</v>
      </c>
      <c r="Y7">
        <f>L7/10*M7*(1000000/C7)</f>
        <v>81920.406439506798</v>
      </c>
      <c r="Z7" s="16">
        <f>Q7/Y7</f>
        <v>0.99215674164922163</v>
      </c>
      <c r="AA7" s="6">
        <f>L7</f>
        <v>11.20406392739836</v>
      </c>
      <c r="AB7">
        <f>I7*K7/16</f>
        <v>11327.249391709162</v>
      </c>
      <c r="AC7">
        <f>H7*C7</f>
        <v>1.6412121591225566</v>
      </c>
      <c r="AD7">
        <f t="shared" si="0"/>
        <v>6901.7581479319915</v>
      </c>
      <c r="AE7">
        <f t="shared" si="1"/>
        <v>7732.773950087254</v>
      </c>
      <c r="AF7">
        <f>AE7/Q7</f>
        <v>9.5139952155143148E-2</v>
      </c>
      <c r="AH7">
        <f>K7*I7/SQRT(252)</f>
        <v>11416.794258617181</v>
      </c>
      <c r="AI7">
        <f>C7*F7</f>
        <v>0.1033866481365155</v>
      </c>
      <c r="AJ7">
        <f t="shared" si="2"/>
        <v>110428.13036691188</v>
      </c>
      <c r="AK7">
        <f t="shared" si="3"/>
        <v>123724.38320139609</v>
      </c>
    </row>
    <row r="8" spans="1:37" x14ac:dyDescent="0.25">
      <c r="A8" t="s">
        <v>27</v>
      </c>
      <c r="B8" s="11">
        <v>45905</v>
      </c>
      <c r="C8" s="2">
        <v>32.139999389648438</v>
      </c>
      <c r="D8" s="3">
        <v>1.129548180727709E-2</v>
      </c>
      <c r="E8" s="4">
        <v>1.2629672482645879</v>
      </c>
      <c r="F8" s="5">
        <v>1.262967248264588E-2</v>
      </c>
      <c r="G8" s="4">
        <v>20.048983517566029</v>
      </c>
      <c r="H8" s="5">
        <v>0.2004898351756603</v>
      </c>
      <c r="I8" s="3">
        <v>0.12</v>
      </c>
      <c r="J8" s="6">
        <v>11327.249391709171</v>
      </c>
      <c r="K8" s="2">
        <v>1510299.918894555</v>
      </c>
      <c r="L8" s="7">
        <v>2.9809044670931062</v>
      </c>
      <c r="M8" s="8">
        <v>0.5985340847572711</v>
      </c>
      <c r="N8" t="s">
        <v>53</v>
      </c>
      <c r="O8" s="8">
        <v>1.436703800896499</v>
      </c>
      <c r="P8" s="9">
        <v>0.40591766588369832</v>
      </c>
      <c r="Q8" s="6">
        <v>5507.7138499322828</v>
      </c>
      <c r="R8" s="6">
        <v>89.380621425530734</v>
      </c>
      <c r="S8" s="2">
        <v>2872.6931180629558</v>
      </c>
      <c r="T8" s="3">
        <v>1.902067981414967E-3</v>
      </c>
      <c r="U8" s="2">
        <v>36.281173224285901</v>
      </c>
      <c r="W8">
        <f>L8/10*M8*(K8/C8)</f>
        <v>8384.058114668429</v>
      </c>
      <c r="X8">
        <f>Q8/W8</f>
        <v>0.65692696479479262</v>
      </c>
      <c r="Y8">
        <f>L8/10*M8*(1000000/C8)</f>
        <v>5551.253767400739</v>
      </c>
      <c r="Z8" s="16">
        <f>Q8/Y8</f>
        <v>0.99215674164922152</v>
      </c>
      <c r="AA8" s="6">
        <f>L8</f>
        <v>2.9809044670931062</v>
      </c>
      <c r="AB8">
        <f>I8*K8/16</f>
        <v>11327.249391709162</v>
      </c>
      <c r="AC8">
        <f>H8*C8</f>
        <v>6.4437431801764378</v>
      </c>
      <c r="AD8">
        <f t="shared" si="0"/>
        <v>1757.8679154309509</v>
      </c>
      <c r="AE8">
        <f t="shared" si="1"/>
        <v>524.00363216677681</v>
      </c>
      <c r="AF8">
        <f>AE8/Q8</f>
        <v>9.5139952155143176E-2</v>
      </c>
      <c r="AH8">
        <f>K8*I8/SQRT(252)</f>
        <v>11416.794258617181</v>
      </c>
      <c r="AI8">
        <f>C8*F8</f>
        <v>0.40591766588369826</v>
      </c>
      <c r="AJ8">
        <f t="shared" si="2"/>
        <v>28125.886646895211</v>
      </c>
      <c r="AK8">
        <f t="shared" si="3"/>
        <v>8384.058114668429</v>
      </c>
    </row>
    <row r="9" spans="1:37" x14ac:dyDescent="0.25">
      <c r="A9" t="s">
        <v>28</v>
      </c>
      <c r="B9" s="11">
        <v>45905</v>
      </c>
      <c r="C9" s="2">
        <v>57.919998168945313</v>
      </c>
      <c r="D9" s="3">
        <v>1.129548180727709E-2</v>
      </c>
      <c r="E9" s="4">
        <v>1.309989100790194</v>
      </c>
      <c r="F9" s="5">
        <v>1.309989100790194E-2</v>
      </c>
      <c r="G9" s="4">
        <v>20.795432285375881</v>
      </c>
      <c r="H9" s="5">
        <v>0.20795432285375881</v>
      </c>
      <c r="I9" s="3">
        <v>0.12</v>
      </c>
      <c r="J9" s="6">
        <v>11327.249391709171</v>
      </c>
      <c r="K9" s="2">
        <v>1510299.918894555</v>
      </c>
      <c r="L9" s="7">
        <v>9.5927888994836206</v>
      </c>
      <c r="M9" s="8">
        <v>0.57704979801929124</v>
      </c>
      <c r="N9" t="s">
        <v>53</v>
      </c>
      <c r="O9" s="8">
        <v>1.436703800896499</v>
      </c>
      <c r="P9" s="9">
        <v>0.75874566319106351</v>
      </c>
      <c r="Q9" s="6">
        <v>9482.217854602759</v>
      </c>
      <c r="R9" s="6">
        <v>153.87991232461681</v>
      </c>
      <c r="S9" s="2">
        <v>8912.7242400792711</v>
      </c>
      <c r="T9" s="3">
        <v>5.9012942585621184E-3</v>
      </c>
      <c r="U9" s="2">
        <v>116.7557161285241</v>
      </c>
      <c r="W9">
        <f>L9/10*M9*(K9/C9)</f>
        <v>14434.204048184816</v>
      </c>
      <c r="X9">
        <f>Q9/W9</f>
        <v>0.65692696479479251</v>
      </c>
      <c r="Y9">
        <f>L9/10*M9*(1000000/C9)</f>
        <v>9557.177264996315</v>
      </c>
      <c r="Z9" s="16">
        <f>Q9/Y9</f>
        <v>0.99215674164922119</v>
      </c>
      <c r="AA9" s="6">
        <f>L9</f>
        <v>9.5927888994836206</v>
      </c>
      <c r="AB9">
        <f>I9*K9/16</f>
        <v>11327.249391709162</v>
      </c>
      <c r="AC9">
        <f>H9*C9</f>
        <v>12.044713998913974</v>
      </c>
      <c r="AD9">
        <f t="shared" si="0"/>
        <v>940.43323840902303</v>
      </c>
      <c r="AE9">
        <f t="shared" si="1"/>
        <v>902.13775301155101</v>
      </c>
      <c r="AF9">
        <f>AE9/Q9</f>
        <v>9.513995215514319E-2</v>
      </c>
    </row>
    <row r="10" spans="1:37" x14ac:dyDescent="0.25">
      <c r="A10" t="s">
        <v>29</v>
      </c>
      <c r="B10" s="11">
        <v>45905</v>
      </c>
      <c r="C10" s="2">
        <v>44.090000152587891</v>
      </c>
      <c r="D10" s="3">
        <v>2.2491003598560579E-2</v>
      </c>
      <c r="E10" s="4">
        <v>0.63312233542465157</v>
      </c>
      <c r="F10" s="5">
        <v>6.3312233542465153E-3</v>
      </c>
      <c r="G10" s="4">
        <v>10.05050549408428</v>
      </c>
      <c r="H10" s="5">
        <v>0.1005050549408428</v>
      </c>
      <c r="I10" s="3">
        <v>0.12</v>
      </c>
      <c r="J10" s="6">
        <v>11327.249391709171</v>
      </c>
      <c r="K10" s="2">
        <v>1510299.918894555</v>
      </c>
      <c r="L10" s="7">
        <v>20</v>
      </c>
      <c r="M10" s="8">
        <v>1.1939697965503511</v>
      </c>
      <c r="N10" t="s">
        <v>53</v>
      </c>
      <c r="O10" s="8">
        <v>1.436703800896499</v>
      </c>
      <c r="P10" s="9">
        <v>0.27914363865479691</v>
      </c>
      <c r="Q10" s="6">
        <v>53735.775861794777</v>
      </c>
      <c r="R10" s="6">
        <v>1736.359308342348</v>
      </c>
      <c r="S10" s="2">
        <v>76556.082169761532</v>
      </c>
      <c r="T10" s="3">
        <v>5.068932416138628E-2</v>
      </c>
      <c r="U10" s="2">
        <v>484.69365534280939</v>
      </c>
      <c r="W10">
        <f>L10/10*M10*(K10/C10)</f>
        <v>81798.706312170441</v>
      </c>
      <c r="X10">
        <f>Q10/W10</f>
        <v>0.65692696479479262</v>
      </c>
      <c r="Y10">
        <f>L10/10*M10*(1000000/C10)</f>
        <v>54160.571214253905</v>
      </c>
      <c r="Z10" s="16">
        <f>Q10/Y10</f>
        <v>0.99215674164922152</v>
      </c>
      <c r="AA10" s="6">
        <f>L10</f>
        <v>20</v>
      </c>
      <c r="AB10">
        <f>I10*K10/16</f>
        <v>11327.249391709162</v>
      </c>
      <c r="AC10">
        <f>H10*C10</f>
        <v>4.4312678876776133</v>
      </c>
      <c r="AD10">
        <f t="shared" si="0"/>
        <v>2556.2095722553277</v>
      </c>
      <c r="AE10">
        <f t="shared" si="1"/>
        <v>5112.4191445106553</v>
      </c>
      <c r="AF10">
        <f>AE10/Q10</f>
        <v>9.5139952155143231E-2</v>
      </c>
    </row>
    <row r="11" spans="1:37" x14ac:dyDescent="0.25">
      <c r="A11" t="s">
        <v>30</v>
      </c>
      <c r="B11" s="11">
        <v>45905</v>
      </c>
      <c r="C11" s="2">
        <v>34.189998626708977</v>
      </c>
      <c r="D11" s="3">
        <v>4.498200719712115E-2</v>
      </c>
      <c r="E11" s="4">
        <v>0.93372394285758054</v>
      </c>
      <c r="F11" s="5">
        <v>9.3372394285758057E-3</v>
      </c>
      <c r="G11" s="4">
        <v>14.82240807592706</v>
      </c>
      <c r="H11" s="5">
        <v>0.1482240807592706</v>
      </c>
      <c r="I11" s="3">
        <v>0.12</v>
      </c>
      <c r="J11" s="6">
        <v>11327.249391709171</v>
      </c>
      <c r="K11" s="2">
        <v>1510299.918894555</v>
      </c>
      <c r="L11" s="7">
        <v>13.061350903066909</v>
      </c>
      <c r="M11" s="8">
        <v>0.80958505112870927</v>
      </c>
      <c r="N11" t="s">
        <v>53</v>
      </c>
      <c r="O11" s="8">
        <v>1.436703800896499</v>
      </c>
      <c r="P11" s="9">
        <v>0.31924020324025981</v>
      </c>
      <c r="Q11" s="6">
        <v>30685.399513819109</v>
      </c>
      <c r="R11" s="6">
        <v>1983.0691274676601</v>
      </c>
      <c r="S11" s="2">
        <v>67801.130744788286</v>
      </c>
      <c r="T11" s="3">
        <v>4.4892494461904263E-2</v>
      </c>
      <c r="U11" s="2">
        <v>633.07539129226052</v>
      </c>
      <c r="W11">
        <f>L11/10*M11*(K11/C11)</f>
        <v>46710.519065699264</v>
      </c>
      <c r="X11">
        <f>Q11/W11</f>
        <v>0.65692696479479262</v>
      </c>
      <c r="Y11">
        <f>L11/10*M11*(1000000/C11)</f>
        <v>30927.975616848635</v>
      </c>
      <c r="Z11" s="16">
        <f>Q11/Y11</f>
        <v>0.99215674164922141</v>
      </c>
      <c r="AA11" s="6">
        <f>L11</f>
        <v>13.061350903066909</v>
      </c>
      <c r="AB11">
        <f>I11*K11/16</f>
        <v>11327.249391709162</v>
      </c>
      <c r="AC11">
        <f>H11*C11</f>
        <v>5.0677811176046621</v>
      </c>
      <c r="AD11">
        <f t="shared" si="0"/>
        <v>2235.1496895475825</v>
      </c>
      <c r="AE11">
        <f t="shared" si="1"/>
        <v>2919.4074416062035</v>
      </c>
      <c r="AF11">
        <f>AE11/Q11</f>
        <v>9.5139952155143162E-2</v>
      </c>
    </row>
    <row r="12" spans="1:37" x14ac:dyDescent="0.25">
      <c r="A12" t="s">
        <v>31</v>
      </c>
      <c r="B12" s="11">
        <v>45905</v>
      </c>
      <c r="C12" s="2">
        <v>50.139999389648438</v>
      </c>
      <c r="D12" s="3">
        <v>7.297081167532987E-3</v>
      </c>
      <c r="E12" s="4">
        <v>0.35462858075249393</v>
      </c>
      <c r="F12" s="5">
        <v>3.546285807524939E-3</v>
      </c>
      <c r="G12" s="4">
        <v>5.6295541948013152</v>
      </c>
      <c r="H12" s="5">
        <v>5.6295541948013152E-2</v>
      </c>
      <c r="I12" s="3">
        <v>0.12</v>
      </c>
      <c r="J12" s="6">
        <v>11327.249391709171</v>
      </c>
      <c r="K12" s="2">
        <v>1510299.918894555</v>
      </c>
      <c r="L12" s="7">
        <v>10.164578093082399</v>
      </c>
      <c r="M12" s="8">
        <v>2.131607510072743</v>
      </c>
      <c r="N12" t="s">
        <v>53</v>
      </c>
      <c r="O12" s="8">
        <v>1.436703800896499</v>
      </c>
      <c r="P12" s="9">
        <v>0.17781076822481939</v>
      </c>
      <c r="Q12" s="6">
        <v>40678.147345043297</v>
      </c>
      <c r="R12" s="6">
        <v>426.45929326289843</v>
      </c>
      <c r="S12" s="2">
        <v>21382.66870391163</v>
      </c>
      <c r="T12" s="3">
        <v>1.4157895684429621E-2</v>
      </c>
      <c r="U12" s="2">
        <v>75.829054551689509</v>
      </c>
      <c r="W12">
        <f>L12/10*M12*(K12/C12)</f>
        <v>65264.268285283135</v>
      </c>
      <c r="X12">
        <f>Q12/W12</f>
        <v>0.62328358861285327</v>
      </c>
      <c r="Y12">
        <f>L12/10*M12*(1000000/C12)</f>
        <v>43212.786724541766</v>
      </c>
      <c r="Z12" s="16">
        <f>Q12/Y12</f>
        <v>0.94134515333029944</v>
      </c>
      <c r="AA12" s="6">
        <f>L12</f>
        <v>10.164578093082399</v>
      </c>
      <c r="AB12">
        <f>I12*K12/16</f>
        <v>11327.249391709162</v>
      </c>
      <c r="AC12">
        <f>H12*C12</f>
        <v>2.8226584389133076</v>
      </c>
      <c r="AD12">
        <f>AB12/AC12</f>
        <v>4012.9720392489385</v>
      </c>
      <c r="AE12">
        <f>(AA12/10)*AD12</f>
        <v>4079.0167678301964</v>
      </c>
      <c r="AF12">
        <f>AE12/Q12</f>
        <v>0.1002753820922779</v>
      </c>
    </row>
    <row r="13" spans="1:37" x14ac:dyDescent="0.25">
      <c r="A13" t="s">
        <v>32</v>
      </c>
      <c r="B13" s="11">
        <v>45905</v>
      </c>
      <c r="C13" s="2">
        <v>36.959999084472663</v>
      </c>
      <c r="D13" s="3">
        <v>5.4978008796481414E-3</v>
      </c>
      <c r="E13" s="4">
        <v>0.2579607778427882</v>
      </c>
      <c r="F13" s="5">
        <v>2.5796077784278819E-3</v>
      </c>
      <c r="G13" s="4">
        <v>4.0950003970847906</v>
      </c>
      <c r="H13" s="5">
        <v>4.0950003970847908E-2</v>
      </c>
      <c r="I13" s="3">
        <v>0.12</v>
      </c>
      <c r="J13" s="6">
        <v>11327.249391709171</v>
      </c>
      <c r="K13" s="2">
        <v>1510299.918894555</v>
      </c>
      <c r="L13" s="7">
        <v>18.525834249081441</v>
      </c>
      <c r="M13" s="8">
        <v>2.9304026462470509</v>
      </c>
      <c r="N13" t="s">
        <v>53</v>
      </c>
      <c r="O13" s="8">
        <v>1.436703800896499</v>
      </c>
      <c r="P13" s="9">
        <v>9.5342301128993057E-2</v>
      </c>
      <c r="Q13" s="6">
        <v>145731.49087321409</v>
      </c>
      <c r="R13" s="6">
        <v>1151.09099127237</v>
      </c>
      <c r="S13" s="2">
        <v>42544.321983571499</v>
      </c>
      <c r="T13" s="3">
        <v>2.816945260429549E-2</v>
      </c>
      <c r="U13" s="2">
        <v>109.7476639167614</v>
      </c>
      <c r="W13">
        <f>L13/10*M13*(K13/C13)</f>
        <v>221838.19310680425</v>
      </c>
      <c r="X13">
        <f>Q13/W13</f>
        <v>0.65692696479479307</v>
      </c>
      <c r="Y13">
        <f>L13/10*M13*(1000000/C13)</f>
        <v>146883.53639664891</v>
      </c>
      <c r="Z13" s="16">
        <f>Q13/Y13</f>
        <v>0.99215674164922196</v>
      </c>
      <c r="AA13" s="6">
        <f>L13</f>
        <v>18.525834249081441</v>
      </c>
      <c r="AB13">
        <f>I13*K13/16</f>
        <v>11327.249391709162</v>
      </c>
      <c r="AC13">
        <f>H13*C13</f>
        <v>1.5135121092716906</v>
      </c>
      <c r="AD13">
        <f t="shared" ref="AD13:AD17" si="4">AB13/AC13</f>
        <v>7484.0824347020844</v>
      </c>
      <c r="AE13">
        <f t="shared" ref="AE13:AE17" si="5">(AA13/10)*AD13</f>
        <v>13864.887069175269</v>
      </c>
      <c r="AF13">
        <f>AE13/Q13</f>
        <v>9.5139952155143148E-2</v>
      </c>
    </row>
    <row r="14" spans="1:37" x14ac:dyDescent="0.25">
      <c r="A14" t="s">
        <v>33</v>
      </c>
      <c r="B14" s="11">
        <v>45905</v>
      </c>
      <c r="C14" s="2">
        <v>67.760002136230469</v>
      </c>
      <c r="D14" s="3">
        <v>9.9960015993602575E-2</v>
      </c>
      <c r="E14" s="4">
        <v>0.69819175514934961</v>
      </c>
      <c r="F14" s="5">
        <v>6.9819175514934974E-3</v>
      </c>
      <c r="G14" s="4">
        <v>11.08345050936528</v>
      </c>
      <c r="H14" s="5">
        <v>0.11083450509365279</v>
      </c>
      <c r="I14" s="3">
        <v>0.12</v>
      </c>
      <c r="J14" s="6">
        <v>11327.249391709171</v>
      </c>
      <c r="K14" s="2">
        <v>1510299.918894555</v>
      </c>
      <c r="L14" s="7">
        <v>19.710152662271788</v>
      </c>
      <c r="M14" s="8">
        <v>1.082695320366186</v>
      </c>
      <c r="N14" t="s">
        <v>53</v>
      </c>
      <c r="O14" s="8">
        <v>1.436703800896499</v>
      </c>
      <c r="P14" s="9">
        <v>0.47309474820418429</v>
      </c>
      <c r="Q14" s="6">
        <v>31246.625655467589</v>
      </c>
      <c r="R14" s="6">
        <v>4487.419616615407</v>
      </c>
      <c r="S14" s="2">
        <v>304067.56280802249</v>
      </c>
      <c r="T14" s="3">
        <v>0.20132925851613689</v>
      </c>
      <c r="U14" s="2">
        <v>2122.974653609183</v>
      </c>
      <c r="W14">
        <f>L14/10*M14*(K14/C14)</f>
        <v>47564.839517933709</v>
      </c>
      <c r="X14">
        <f>Q14/W14</f>
        <v>0.6569269647947924</v>
      </c>
      <c r="Y14">
        <f>L14/10*M14*(1000000/C14)</f>
        <v>31493.638397827759</v>
      </c>
      <c r="Z14" s="16">
        <f>Q14/Y14</f>
        <v>0.99215674164922119</v>
      </c>
      <c r="AA14" s="6">
        <f>L14</f>
        <v>19.710152662271788</v>
      </c>
      <c r="AB14">
        <f>I14*K14/16</f>
        <v>11327.249391709162</v>
      </c>
      <c r="AC14">
        <f>H14*C14</f>
        <v>7.5101463019139603</v>
      </c>
      <c r="AD14">
        <f t="shared" si="4"/>
        <v>1508.2594847483081</v>
      </c>
      <c r="AE14">
        <f t="shared" si="5"/>
        <v>2972.8024698708541</v>
      </c>
      <c r="AF14">
        <f>AE14/Q14</f>
        <v>9.513995215514312E-2</v>
      </c>
    </row>
    <row r="15" spans="1:37" x14ac:dyDescent="0.25">
      <c r="A15" t="s">
        <v>34</v>
      </c>
      <c r="B15" s="11">
        <v>45905</v>
      </c>
      <c r="C15" s="2">
        <v>95.029998779296875</v>
      </c>
      <c r="D15" s="3">
        <v>5.4978008796481414E-3</v>
      </c>
      <c r="E15" s="4">
        <v>0.54226718744169633</v>
      </c>
      <c r="F15" s="5">
        <v>5.4226718744169629E-3</v>
      </c>
      <c r="G15" s="4">
        <v>8.6082247327270576</v>
      </c>
      <c r="H15" s="5">
        <v>8.6082247327270572E-2</v>
      </c>
      <c r="I15" s="3">
        <v>0.12</v>
      </c>
      <c r="J15" s="6">
        <v>11327.249391709171</v>
      </c>
      <c r="K15" s="2">
        <v>1510299.918894555</v>
      </c>
      <c r="L15" s="7">
        <v>19.93230121259484</v>
      </c>
      <c r="M15" s="8">
        <v>1.394015650448573</v>
      </c>
      <c r="N15" t="s">
        <v>53</v>
      </c>
      <c r="O15" s="8">
        <v>1.436703800896499</v>
      </c>
      <c r="P15" s="9">
        <v>0.51531650160637144</v>
      </c>
      <c r="Q15" s="6">
        <v>29009.79468510249</v>
      </c>
      <c r="R15" s="6">
        <v>229.13999658271709</v>
      </c>
      <c r="S15" s="2">
        <v>21775.1735955437</v>
      </c>
      <c r="T15" s="3">
        <v>1.4417781079854501E-2</v>
      </c>
      <c r="U15" s="2">
        <v>118.07962141710171</v>
      </c>
      <c r="W15">
        <f>L15/10*M15*(K15/C15)</f>
        <v>44159.847653938872</v>
      </c>
      <c r="X15">
        <f>Q15/W15</f>
        <v>0.65692696479479229</v>
      </c>
      <c r="Y15">
        <f>L15/10*M15*(1000000/C15)</f>
        <v>29239.1246940284</v>
      </c>
      <c r="Z15" s="16">
        <f>Q15/Y15</f>
        <v>0.99215674164922085</v>
      </c>
      <c r="AA15" s="6">
        <f>L15</f>
        <v>19.93230121259484</v>
      </c>
      <c r="AB15">
        <f>I15*K15/16</f>
        <v>11327.249391709162</v>
      </c>
      <c r="AC15">
        <f>H15*C15</f>
        <v>8.1803958584296534</v>
      </c>
      <c r="AD15">
        <f t="shared" si="4"/>
        <v>1384.6823048345234</v>
      </c>
      <c r="AE15">
        <f t="shared" si="5"/>
        <v>2759.9904783711791</v>
      </c>
      <c r="AF15">
        <f>AE15/Q15</f>
        <v>9.5139952155143218E-2</v>
      </c>
    </row>
    <row r="16" spans="1:37" x14ac:dyDescent="0.25">
      <c r="A16" t="s">
        <v>35</v>
      </c>
      <c r="B16" s="11">
        <v>45905</v>
      </c>
      <c r="C16" s="2">
        <v>62.779998779296882</v>
      </c>
      <c r="D16" s="3">
        <v>4.498200719712115E-2</v>
      </c>
      <c r="E16" s="4">
        <v>0.7672004904595936</v>
      </c>
      <c r="F16" s="5">
        <v>7.672004904595936E-3</v>
      </c>
      <c r="G16" s="4">
        <v>12.1789302208972</v>
      </c>
      <c r="H16" s="5">
        <v>0.12178930220897199</v>
      </c>
      <c r="I16" s="3">
        <v>0.12</v>
      </c>
      <c r="J16" s="6">
        <v>11327.249391709171</v>
      </c>
      <c r="K16" s="2">
        <v>1510299.918894555</v>
      </c>
      <c r="L16" s="7">
        <v>13.48758436546183</v>
      </c>
      <c r="M16" s="8">
        <v>0.98530821528230905</v>
      </c>
      <c r="N16" t="s">
        <v>53</v>
      </c>
      <c r="O16" s="8">
        <v>1.436703800896499</v>
      </c>
      <c r="P16" s="9">
        <v>0.48164845854529248</v>
      </c>
      <c r="Q16" s="6">
        <v>21002.222875680862</v>
      </c>
      <c r="R16" s="6">
        <v>1357.2858901250841</v>
      </c>
      <c r="S16" s="2">
        <v>85210.406525209648</v>
      </c>
      <c r="T16" s="3">
        <v>5.6419526651089479E-2</v>
      </c>
      <c r="U16" s="2">
        <v>653.73465678402192</v>
      </c>
      <c r="W16">
        <f>L16/10*M16*(K16/C16)</f>
        <v>31970.407672702899</v>
      </c>
      <c r="X16">
        <f>Q16/W16</f>
        <v>0.65692696479479251</v>
      </c>
      <c r="Y16">
        <f>L16/10*M16*(1000000/C16)</f>
        <v>21168.250936610813</v>
      </c>
      <c r="Z16" s="16">
        <f>Q16/Y16</f>
        <v>0.9921567416492213</v>
      </c>
      <c r="AA16" s="6">
        <f>L16</f>
        <v>13.48758436546183</v>
      </c>
      <c r="AB16">
        <f>I16*K16/16</f>
        <v>11327.249391709162</v>
      </c>
      <c r="AC16">
        <f>H16*C16</f>
        <v>7.6459322440106812</v>
      </c>
      <c r="AD16">
        <f t="shared" si="4"/>
        <v>1481.4739432960816</v>
      </c>
      <c r="AE16">
        <f t="shared" si="5"/>
        <v>1998.1504795439314</v>
      </c>
      <c r="AF16">
        <f>AE16/Q16</f>
        <v>9.5139952155143204E-2</v>
      </c>
    </row>
    <row r="17" spans="1:32" x14ac:dyDescent="0.25">
      <c r="A17" t="s">
        <v>36</v>
      </c>
      <c r="B17" s="11">
        <v>45905</v>
      </c>
      <c r="C17" s="2">
        <v>22.129999160766602</v>
      </c>
      <c r="D17" s="3">
        <v>6.3774490203918427E-2</v>
      </c>
      <c r="E17" s="4">
        <v>0.37282212598385189</v>
      </c>
      <c r="F17" s="5">
        <v>3.7282212598385191E-3</v>
      </c>
      <c r="G17" s="4">
        <v>5.9183677716939851</v>
      </c>
      <c r="H17" s="5">
        <v>5.9183677716939852E-2</v>
      </c>
      <c r="I17" s="3">
        <v>0.12</v>
      </c>
      <c r="J17" s="6">
        <v>11327.249391709171</v>
      </c>
      <c r="K17" s="2">
        <v>1510299.918894555</v>
      </c>
      <c r="L17" s="7">
        <v>15.001546823100471</v>
      </c>
      <c r="M17" s="8">
        <v>2.0275860613787611</v>
      </c>
      <c r="N17" t="s">
        <v>53</v>
      </c>
      <c r="O17" s="8">
        <v>1.436703800896499</v>
      </c>
      <c r="P17" s="9">
        <v>8.2505533351378627E-2</v>
      </c>
      <c r="Q17" s="6">
        <v>136368.5520267878</v>
      </c>
      <c r="R17" s="6">
        <v>12494.77573561996</v>
      </c>
      <c r="S17" s="2">
        <v>276509.37654323672</v>
      </c>
      <c r="T17" s="3">
        <v>0.1830824282541339</v>
      </c>
      <c r="U17" s="2">
        <v>1030.888136173189</v>
      </c>
      <c r="W17">
        <f>L17/10*M17*(K17/C17)</f>
        <v>207585.56024471595</v>
      </c>
      <c r="X17">
        <f>Q17/W17</f>
        <v>0.65692696479479251</v>
      </c>
      <c r="Y17">
        <f>L17/10*M17*(1000000/C17)</f>
        <v>137446.5810715633</v>
      </c>
      <c r="Z17" s="16">
        <f>Q17/Y17</f>
        <v>0.99215674164922152</v>
      </c>
      <c r="AA17" s="6">
        <f>L17</f>
        <v>15.001546823100471</v>
      </c>
      <c r="AB17">
        <f>I17*K17/16</f>
        <v>11327.249391709162</v>
      </c>
      <c r="AC17">
        <f>H17*C17</f>
        <v>1.30973473820696</v>
      </c>
      <c r="AD17">
        <f t="shared" si="4"/>
        <v>8648.5064962209672</v>
      </c>
      <c r="AE17">
        <f t="shared" si="5"/>
        <v>12974.097515294743</v>
      </c>
      <c r="AF17">
        <f>AE17/Q17</f>
        <v>9.5139952155143162E-2</v>
      </c>
    </row>
    <row r="18" spans="1:32" x14ac:dyDescent="0.25">
      <c r="A18" t="s">
        <v>37</v>
      </c>
      <c r="B18" s="11">
        <v>45905</v>
      </c>
      <c r="C18" s="2">
        <v>27.360000610351559</v>
      </c>
      <c r="D18" s="3">
        <v>3.378648540583766E-2</v>
      </c>
      <c r="E18" s="4">
        <v>1.0473108022172679</v>
      </c>
      <c r="F18" s="5">
        <v>1.047310802217268E-2</v>
      </c>
      <c r="G18" s="4">
        <v>16.625543568350661</v>
      </c>
      <c r="H18" s="5">
        <v>0.16625543568350659</v>
      </c>
      <c r="I18" s="3">
        <v>0.12</v>
      </c>
      <c r="J18" s="6">
        <v>11327.249391709171</v>
      </c>
      <c r="K18" s="2">
        <v>1510299.918894555</v>
      </c>
      <c r="L18" s="7">
        <v>17.702497929090541</v>
      </c>
      <c r="M18" s="8">
        <v>0.72178091204451722</v>
      </c>
      <c r="N18" t="s">
        <v>53</v>
      </c>
      <c r="O18" s="8">
        <v>1.436703800896499</v>
      </c>
      <c r="P18" s="9">
        <v>0.28654424187892219</v>
      </c>
      <c r="Q18" s="6">
        <v>46334.46255893699</v>
      </c>
      <c r="R18" s="6">
        <v>2249.1291166815031</v>
      </c>
      <c r="S18" s="2">
        <v>61536.174005165383</v>
      </c>
      <c r="T18" s="3">
        <v>4.0744340402405627E-2</v>
      </c>
      <c r="U18" s="2">
        <v>644.47499762731127</v>
      </c>
      <c r="W18">
        <f>L18/10*M18*(K18/C18)</f>
        <v>70532.136815864593</v>
      </c>
      <c r="X18">
        <f>Q18/W18</f>
        <v>0.65692696479479284</v>
      </c>
      <c r="Y18">
        <f>L18/10*M18*(1000000/C18)</f>
        <v>46700.748595345038</v>
      </c>
      <c r="Z18" s="16">
        <f>Q18/Y18</f>
        <v>0.99215674164922152</v>
      </c>
      <c r="AA18" s="6">
        <f>L18</f>
        <v>17.702497929090541</v>
      </c>
      <c r="AB18">
        <f>I18*K18/16</f>
        <v>11327.249391709162</v>
      </c>
      <c r="AC18">
        <f>H18*C18</f>
        <v>4.5487488217750043</v>
      </c>
      <c r="AD18">
        <f>AB18/AC18</f>
        <v>2490.1901238171827</v>
      </c>
      <c r="AE18">
        <f>(AA18/10)*AD18</f>
        <v>4408.2585509915398</v>
      </c>
      <c r="AF18">
        <f>AE18/Q18</f>
        <v>9.5139952155143218E-2</v>
      </c>
    </row>
    <row r="19" spans="1:32" x14ac:dyDescent="0.25">
      <c r="A19" t="s">
        <v>38</v>
      </c>
      <c r="B19" s="11">
        <v>45905</v>
      </c>
      <c r="C19" s="2">
        <v>650.469970703125</v>
      </c>
      <c r="D19" s="3">
        <v>8.99640143942423E-2</v>
      </c>
      <c r="E19" s="4">
        <v>0.68577646492579059</v>
      </c>
      <c r="F19" s="5">
        <v>6.8577646492579058E-3</v>
      </c>
      <c r="G19" s="4">
        <v>10.886363887047899</v>
      </c>
      <c r="H19" s="5">
        <v>0.10886363887047899</v>
      </c>
      <c r="I19" s="3">
        <v>0.12</v>
      </c>
      <c r="J19" s="6">
        <v>11327.249391709171</v>
      </c>
      <c r="K19" s="2">
        <v>1510299.918894555</v>
      </c>
      <c r="L19" s="7">
        <v>16.531949082346362</v>
      </c>
      <c r="M19" s="8">
        <v>1.1022964255564749</v>
      </c>
      <c r="N19" t="s">
        <v>53</v>
      </c>
      <c r="O19" s="8">
        <v>1.436703800896499</v>
      </c>
      <c r="P19" s="9">
        <v>4.4607699704917163</v>
      </c>
      <c r="Q19" s="6">
        <v>2216.427490329002</v>
      </c>
      <c r="R19" s="6">
        <v>286.47689120954811</v>
      </c>
      <c r="S19" s="2">
        <v>186344.61503219709</v>
      </c>
      <c r="T19" s="3">
        <v>0.1233825233656833</v>
      </c>
      <c r="U19" s="2">
        <v>1277.907513547374</v>
      </c>
      <c r="W19">
        <f>L19/10*M19*(K19/C19)</f>
        <v>4231.1498377101525</v>
      </c>
      <c r="X19">
        <f>Q19/W19</f>
        <v>0.52383573622826507</v>
      </c>
      <c r="Y19">
        <f>L19/10*M19*(1000000/C19)</f>
        <v>2801.5295404419339</v>
      </c>
      <c r="Z19" s="16">
        <f>Q19/Y19</f>
        <v>0.7911490699396182</v>
      </c>
      <c r="AA19" s="6">
        <f>L19</f>
        <v>16.531949082346362</v>
      </c>
      <c r="AB19">
        <f>I19*K19/16</f>
        <v>11327.249391709162</v>
      </c>
      <c r="AC19">
        <f>H19*C19</f>
        <v>70.812527986716049</v>
      </c>
      <c r="AD19">
        <f t="shared" ref="AD19:AD24" si="6">AB19/AC19</f>
        <v>159.9610932381072</v>
      </c>
      <c r="AE19">
        <f t="shared" ref="AE19:AE24" si="7">(AA19/10)*AD19</f>
        <v>264.4468648568847</v>
      </c>
      <c r="AF19">
        <f>AE19/Q19</f>
        <v>0.1193122112095942</v>
      </c>
    </row>
    <row r="20" spans="1:32" x14ac:dyDescent="0.25">
      <c r="A20" t="s">
        <v>39</v>
      </c>
      <c r="B20" s="11">
        <v>45905</v>
      </c>
      <c r="C20" s="2">
        <v>37.200000762939453</v>
      </c>
      <c r="D20" s="3">
        <v>1.129548180727709E-2</v>
      </c>
      <c r="E20" s="4">
        <v>0.69390530983900056</v>
      </c>
      <c r="F20" s="5">
        <v>6.9390530983900059E-3</v>
      </c>
      <c r="G20" s="4">
        <v>11.0154052995673</v>
      </c>
      <c r="H20" s="5">
        <v>0.110154052995673</v>
      </c>
      <c r="I20" s="3">
        <v>0.12</v>
      </c>
      <c r="J20" s="6">
        <v>11327.249391709171</v>
      </c>
      <c r="K20" s="2">
        <v>1510299.918894555</v>
      </c>
      <c r="L20" s="7">
        <v>-12.231213512165681</v>
      </c>
      <c r="M20" s="8">
        <v>1.089383429266227</v>
      </c>
      <c r="N20" t="s">
        <v>53</v>
      </c>
      <c r="O20" s="8">
        <v>1.436703800896499</v>
      </c>
      <c r="P20" s="9">
        <v>0.25813278055418559</v>
      </c>
      <c r="Q20" s="6">
        <v>-35537.563708219692</v>
      </c>
      <c r="R20" s="6">
        <v>-576.71288210245677</v>
      </c>
      <c r="S20" s="2">
        <v>21453.719654208398</v>
      </c>
      <c r="T20" s="3">
        <v>1.420493994988173E-2</v>
      </c>
      <c r="U20" s="2">
        <v>148.86849983852539</v>
      </c>
      <c r="W20">
        <f>L20/10*M20*(K20/C20)</f>
        <v>-54096.673774565956</v>
      </c>
      <c r="X20">
        <f>Q20/W20</f>
        <v>0.65692696479479296</v>
      </c>
      <c r="Y20">
        <f>L20/10*M20*(1000000/C20)</f>
        <v>-35818.497437357568</v>
      </c>
      <c r="Z20" s="16">
        <f>Q20/Y20</f>
        <v>0.99215674164922196</v>
      </c>
      <c r="AA20" s="6">
        <f>L20</f>
        <v>-12.231213512165681</v>
      </c>
      <c r="AB20">
        <f>I20*K20/16</f>
        <v>11327.249391709162</v>
      </c>
      <c r="AC20">
        <f>H20*C20</f>
        <v>4.0977308554799086</v>
      </c>
      <c r="AD20">
        <f t="shared" si="6"/>
        <v>2764.273640998455</v>
      </c>
      <c r="AE20">
        <f t="shared" si="7"/>
        <v>-3381.0421109103731</v>
      </c>
      <c r="AF20">
        <f>AE20/Q20</f>
        <v>9.5139952155143148E-2</v>
      </c>
    </row>
    <row r="21" spans="1:32" x14ac:dyDescent="0.25">
      <c r="A21" t="s">
        <v>40</v>
      </c>
      <c r="B21" s="11">
        <v>45905</v>
      </c>
      <c r="C21" s="2">
        <v>23.829999923706051</v>
      </c>
      <c r="D21" s="3">
        <v>6.3774490203918427E-2</v>
      </c>
      <c r="E21" s="4">
        <v>0.51795665083254161</v>
      </c>
      <c r="F21" s="5">
        <v>5.1795665083254174E-3</v>
      </c>
      <c r="G21" s="4">
        <v>8.222306928088928</v>
      </c>
      <c r="H21" s="5">
        <v>8.222306928088928E-2</v>
      </c>
      <c r="I21" s="3">
        <v>0.12</v>
      </c>
      <c r="J21" s="6">
        <v>11327.249391709171</v>
      </c>
      <c r="K21" s="2">
        <v>1510299.918894555</v>
      </c>
      <c r="L21" s="7">
        <v>8.9798265926921559</v>
      </c>
      <c r="M21" s="8">
        <v>1.459444424168328</v>
      </c>
      <c r="N21" t="s">
        <v>53</v>
      </c>
      <c r="O21" s="8">
        <v>1.436703800896499</v>
      </c>
      <c r="P21" s="9">
        <v>0.1234290694982251</v>
      </c>
      <c r="Q21" s="6">
        <v>54564.698347790458</v>
      </c>
      <c r="R21" s="6">
        <v>4999.4933494891802</v>
      </c>
      <c r="S21" s="2">
        <v>119137.9261368961</v>
      </c>
      <c r="T21" s="3">
        <v>7.888362082684712E-2</v>
      </c>
      <c r="U21" s="2">
        <v>617.08281209001416</v>
      </c>
      <c r="W21">
        <f>L21/10*M21*(K21/C21)</f>
        <v>83060.524642697681</v>
      </c>
      <c r="X21">
        <f>Q21/W21</f>
        <v>0.65692696479479251</v>
      </c>
      <c r="Y21">
        <f>L21/10*M21*(1000000/C21)</f>
        <v>54996.046549146864</v>
      </c>
      <c r="Z21" s="16">
        <f>Q21/Y21</f>
        <v>0.99215674164922141</v>
      </c>
      <c r="AA21" s="6">
        <f>L21</f>
        <v>8.9798265926921559</v>
      </c>
      <c r="AB21">
        <f>I21*K21/16</f>
        <v>11327.249391709162</v>
      </c>
      <c r="AC21">
        <f>H21*C21</f>
        <v>1.959375734690469</v>
      </c>
      <c r="AD21">
        <f t="shared" si="6"/>
        <v>5781.0501534554196</v>
      </c>
      <c r="AE21">
        <f t="shared" si="7"/>
        <v>5191.2827901686051</v>
      </c>
      <c r="AF21">
        <f>AE21/Q21</f>
        <v>9.513995215514319E-2</v>
      </c>
    </row>
    <row r="22" spans="1:32" x14ac:dyDescent="0.25">
      <c r="A22" t="s">
        <v>41</v>
      </c>
      <c r="B22" s="11">
        <v>45905</v>
      </c>
      <c r="C22" s="2">
        <v>24.399999618530281</v>
      </c>
      <c r="D22" s="3">
        <v>9.0963614554178344E-3</v>
      </c>
      <c r="E22" s="4">
        <v>0.10430086815677619</v>
      </c>
      <c r="F22" s="5">
        <v>1.0430086815677621E-3</v>
      </c>
      <c r="G22" s="4">
        <v>1.6557249520257931</v>
      </c>
      <c r="H22" s="5">
        <v>1.655724952025793E-2</v>
      </c>
      <c r="I22" s="3">
        <v>0.12</v>
      </c>
      <c r="J22" s="6">
        <v>11327.249391709171</v>
      </c>
      <c r="K22" s="2">
        <v>1510299.918894555</v>
      </c>
      <c r="L22" s="7">
        <v>19.26562428397984</v>
      </c>
      <c r="M22" s="8">
        <v>7.2475805750936466</v>
      </c>
      <c r="N22" t="s">
        <v>53</v>
      </c>
      <c r="O22" s="8">
        <v>1.436703800896499</v>
      </c>
      <c r="P22" s="9">
        <v>2.544941143237715E-2</v>
      </c>
      <c r="Q22" s="6">
        <v>567762.37247680896</v>
      </c>
      <c r="R22" s="6">
        <v>7419.9598788302283</v>
      </c>
      <c r="S22" s="2">
        <v>181047.01821296749</v>
      </c>
      <c r="T22" s="3">
        <v>0.11987487779611521</v>
      </c>
      <c r="U22" s="2">
        <v>188.83361176808179</v>
      </c>
      <c r="W22">
        <f>L22/10*M22*(K22/C22)</f>
        <v>864270.15924694692</v>
      </c>
      <c r="X22">
        <f>Q22/W22</f>
        <v>0.65692696479479262</v>
      </c>
      <c r="Y22">
        <f>L22/10*M22*(1000000/C22)</f>
        <v>572250.68242044176</v>
      </c>
      <c r="Z22" s="16">
        <f>Q22/Y22</f>
        <v>0.99215674164922152</v>
      </c>
      <c r="AA22" s="6">
        <f>L22</f>
        <v>19.26562428397984</v>
      </c>
      <c r="AB22">
        <f>I22*K22/16</f>
        <v>11327.249391709162</v>
      </c>
      <c r="AC22">
        <f>H22*C22</f>
        <v>0.40399688197820416</v>
      </c>
      <c r="AD22">
        <f t="shared" si="6"/>
        <v>28037.962412591769</v>
      </c>
      <c r="AE22">
        <f t="shared" si="7"/>
        <v>54016.88495293419</v>
      </c>
      <c r="AF22">
        <f>AE22/Q22</f>
        <v>9.513995215514319E-2</v>
      </c>
    </row>
    <row r="23" spans="1:32" x14ac:dyDescent="0.25">
      <c r="A23" t="s">
        <v>42</v>
      </c>
      <c r="B23" s="11">
        <v>45905</v>
      </c>
      <c r="C23" s="2">
        <v>26.979999542236332</v>
      </c>
      <c r="D23" s="3">
        <v>1.009596161535386E-2</v>
      </c>
      <c r="E23" s="4">
        <v>0.26334433048272471</v>
      </c>
      <c r="F23" s="5">
        <v>2.633443304827246E-3</v>
      </c>
      <c r="G23" s="4">
        <v>4.1804616458165738</v>
      </c>
      <c r="H23" s="5">
        <v>4.1804616458165737E-2</v>
      </c>
      <c r="I23" s="3">
        <v>0.12</v>
      </c>
      <c r="J23" s="6">
        <v>11327.249391709171</v>
      </c>
      <c r="K23" s="2">
        <v>1510299.918894555</v>
      </c>
      <c r="L23" s="7">
        <v>18.64095426206633</v>
      </c>
      <c r="M23" s="8">
        <v>2.870496374965791</v>
      </c>
      <c r="N23" t="s">
        <v>53</v>
      </c>
      <c r="O23" s="8">
        <v>1.436703800896499</v>
      </c>
      <c r="P23" s="9">
        <v>7.1050299158744432E-2</v>
      </c>
      <c r="Q23" s="6">
        <v>196772.0876911901</v>
      </c>
      <c r="R23" s="6">
        <v>2854.1607193186242</v>
      </c>
      <c r="S23" s="2">
        <v>77005.254900685381</v>
      </c>
      <c r="T23" s="3">
        <v>5.0986730474731387E-2</v>
      </c>
      <c r="U23" s="2">
        <v>202.78897295472541</v>
      </c>
      <c r="W23">
        <f>L23/10*M23*(K23/C23)</f>
        <v>299534.19213451928</v>
      </c>
      <c r="X23">
        <f>Q23/W23</f>
        <v>0.65692696479479296</v>
      </c>
      <c r="Y23">
        <f>L23/10*M23*(1000000/C23)</f>
        <v>198327.62247233622</v>
      </c>
      <c r="Z23" s="16">
        <f>Q23/Y23</f>
        <v>0.99215674164922185</v>
      </c>
      <c r="AA23" s="6">
        <f>L23</f>
        <v>18.64095426206633</v>
      </c>
      <c r="AB23">
        <f>I23*K23/16</f>
        <v>11327.249391709162</v>
      </c>
      <c r="AC23">
        <f>H23*C23</f>
        <v>1.1278885329046771</v>
      </c>
      <c r="AD23">
        <f t="shared" si="6"/>
        <v>10042.880179425034</v>
      </c>
      <c r="AE23">
        <f t="shared" si="7"/>
        <v>18720.887008407455</v>
      </c>
      <c r="AF23">
        <f>AE23/Q23</f>
        <v>9.5139952155143134E-2</v>
      </c>
    </row>
    <row r="24" spans="1:32" x14ac:dyDescent="0.25">
      <c r="A24" t="s">
        <v>43</v>
      </c>
      <c r="B24" s="11">
        <v>45905</v>
      </c>
      <c r="C24" s="2">
        <v>25.219999313354489</v>
      </c>
      <c r="D24" s="3">
        <v>9.0963614554178344E-3</v>
      </c>
      <c r="E24" s="4">
        <v>0.24925259656612189</v>
      </c>
      <c r="F24" s="5">
        <v>2.4925259656612192E-3</v>
      </c>
      <c r="G24" s="4">
        <v>3.9567623049064231</v>
      </c>
      <c r="H24" s="5">
        <v>3.9567623049064228E-2</v>
      </c>
      <c r="I24" s="3">
        <v>0.12</v>
      </c>
      <c r="J24" s="6">
        <v>11327.249391709171</v>
      </c>
      <c r="K24" s="2">
        <v>1510299.918894555</v>
      </c>
      <c r="L24" s="7">
        <v>18.674494425062701</v>
      </c>
      <c r="M24" s="8">
        <v>3.032782632689329</v>
      </c>
      <c r="N24" t="s">
        <v>53</v>
      </c>
      <c r="O24" s="8">
        <v>1.436703800896499</v>
      </c>
      <c r="P24" s="9">
        <v>6.2861503142494168E-2</v>
      </c>
      <c r="Q24" s="6">
        <v>222805.216525742</v>
      </c>
      <c r="R24" s="6">
        <v>2911.7917064548251</v>
      </c>
      <c r="S24" s="2">
        <v>73435.384837421982</v>
      </c>
      <c r="T24" s="3">
        <v>4.8623047593866042E-2</v>
      </c>
      <c r="U24" s="2">
        <v>183.03960350559839</v>
      </c>
      <c r="W24">
        <f>L24/10*M24*(K24/C24)</f>
        <v>339162.84224280651</v>
      </c>
      <c r="X24">
        <f>Q24/W24</f>
        <v>0.65692696479479273</v>
      </c>
      <c r="Y24">
        <f>L24/10*M24*(1000000/C24)</f>
        <v>224566.5499942902</v>
      </c>
      <c r="Z24" s="16">
        <f>Q24/Y24</f>
        <v>0.99215674164922163</v>
      </c>
      <c r="AA24" s="6">
        <f>L24</f>
        <v>18.674494425062701</v>
      </c>
      <c r="AB24">
        <f>I24*K24/16</f>
        <v>11327.249391709162</v>
      </c>
      <c r="AC24">
        <f>H24*C24</f>
        <v>0.99789542612846904</v>
      </c>
      <c r="AD24">
        <f t="shared" si="6"/>
        <v>11351.138701632741</v>
      </c>
      <c r="AE24">
        <f t="shared" si="7"/>
        <v>21197.677640175407</v>
      </c>
      <c r="AF24">
        <f>AE24/Q24</f>
        <v>9.5139952155143162E-2</v>
      </c>
    </row>
    <row r="25" spans="1:32" x14ac:dyDescent="0.25">
      <c r="A25" t="s">
        <v>44</v>
      </c>
      <c r="B25" s="11">
        <v>45905</v>
      </c>
      <c r="C25" s="2">
        <v>23.809999465942379</v>
      </c>
      <c r="D25" s="3">
        <v>5.4978008796481414E-3</v>
      </c>
      <c r="E25" s="4">
        <v>0.2378833104142265</v>
      </c>
      <c r="F25" s="5">
        <v>2.378833104142265E-3</v>
      </c>
      <c r="G25" s="4">
        <v>3.776280482452949</v>
      </c>
      <c r="H25" s="5">
        <v>3.7762804824529483E-2</v>
      </c>
      <c r="I25" s="3">
        <v>0.12</v>
      </c>
      <c r="J25" s="6">
        <v>11327.249391709171</v>
      </c>
      <c r="K25" s="2">
        <v>1510299.918894555</v>
      </c>
      <c r="L25" s="7">
        <v>18.284373357324469</v>
      </c>
      <c r="M25" s="8">
        <v>3.1777300589190318</v>
      </c>
      <c r="N25" t="s">
        <v>53</v>
      </c>
      <c r="O25" s="8">
        <v>1.436703800896499</v>
      </c>
      <c r="P25" s="9">
        <v>5.6640014939193392E-2</v>
      </c>
      <c r="Q25" s="6">
        <v>242112.93080899469</v>
      </c>
      <c r="R25" s="6">
        <v>1912.380171607846</v>
      </c>
      <c r="S25" s="2">
        <v>45533.770864661608</v>
      </c>
      <c r="T25" s="3">
        <v>3.0148826928355701E-2</v>
      </c>
      <c r="U25" s="2">
        <v>108.31724148928561</v>
      </c>
      <c r="W25">
        <f>L25/10*M25*(K25/C25)</f>
        <v>368553.80245294777</v>
      </c>
      <c r="X25">
        <f>Q25/W25</f>
        <v>0.65692696479479296</v>
      </c>
      <c r="Y25">
        <f>L25/10*M25*(1000000/C25)</f>
        <v>244026.89680517637</v>
      </c>
      <c r="Z25" s="16">
        <f>Q25/Y25</f>
        <v>0.99215674164922185</v>
      </c>
      <c r="AA25" s="6">
        <f>L25</f>
        <v>18.284373357324469</v>
      </c>
      <c r="AB25">
        <f>I25*K25/16</f>
        <v>11327.249391709162</v>
      </c>
      <c r="AC25">
        <f>H25*C25</f>
        <v>0.89913236270453334</v>
      </c>
      <c r="AD25">
        <f>AB25/AC25</f>
        <v>12597.977629942616</v>
      </c>
      <c r="AE25">
        <f>(AA25/10)*AD25</f>
        <v>23034.612653309243</v>
      </c>
      <c r="AF25">
        <f>AE25/Q25</f>
        <v>9.5139952155143162E-2</v>
      </c>
    </row>
    <row r="26" spans="1:32" x14ac:dyDescent="0.25">
      <c r="A26" t="s">
        <v>45</v>
      </c>
      <c r="B26" s="11">
        <v>45905</v>
      </c>
      <c r="C26" s="2">
        <v>30.239999771118161</v>
      </c>
      <c r="D26" s="3">
        <v>9.0963614554178344E-3</v>
      </c>
      <c r="E26" s="4">
        <v>0.103245573833174</v>
      </c>
      <c r="F26" s="5">
        <v>1.03245573833174E-3</v>
      </c>
      <c r="G26" s="4">
        <v>1.6389726739844159</v>
      </c>
      <c r="H26" s="5">
        <v>1.6389726739844158E-2</v>
      </c>
      <c r="I26" s="3">
        <v>0.12</v>
      </c>
      <c r="J26" s="6">
        <v>11327.249391709171</v>
      </c>
      <c r="K26" s="2">
        <v>1510299.918894555</v>
      </c>
      <c r="L26" s="7">
        <v>18.513237383267779</v>
      </c>
      <c r="M26" s="8">
        <v>7.321659592302697</v>
      </c>
      <c r="N26" t="s">
        <v>53</v>
      </c>
      <c r="O26" s="8">
        <v>1.436703800896499</v>
      </c>
      <c r="P26" s="9">
        <v>3.122146129084144E-2</v>
      </c>
      <c r="Q26" s="6">
        <v>444723.83621338912</v>
      </c>
      <c r="R26" s="6">
        <v>5811.996676475067</v>
      </c>
      <c r="S26" s="2">
        <v>175754.77816634561</v>
      </c>
      <c r="T26" s="3">
        <v>0.1163707790535982</v>
      </c>
      <c r="U26" s="2">
        <v>181.4590292570654</v>
      </c>
      <c r="W26">
        <f>L26/10*M26*(K26/C26)</f>
        <v>676976.07199349708</v>
      </c>
      <c r="X26">
        <f>Q26/W26</f>
        <v>0.65692696479479273</v>
      </c>
      <c r="Y26">
        <f>L26/10*M26*(1000000/C26)</f>
        <v>448239.49437076127</v>
      </c>
      <c r="Z26" s="16">
        <f>Q26/Y26</f>
        <v>0.99215674164922163</v>
      </c>
      <c r="AA26" s="6">
        <f>L26</f>
        <v>18.513237383267779</v>
      </c>
      <c r="AB26">
        <f>I26*K26/16</f>
        <v>11327.249391709162</v>
      </c>
      <c r="AC26">
        <f>H26*C26</f>
        <v>0.49562533286157656</v>
      </c>
      <c r="AD26">
        <f t="shared" ref="AD26:AD33" si="8">AB26/AC26</f>
        <v>22854.460094501977</v>
      </c>
      <c r="AE26">
        <f t="shared" ref="AE26:AE33" si="9">(AA26/10)*AD26</f>
        <v>42311.00449959356</v>
      </c>
      <c r="AF26">
        <f>AE26/Q26</f>
        <v>9.5139952155143148E-2</v>
      </c>
    </row>
    <row r="27" spans="1:32" x14ac:dyDescent="0.25">
      <c r="A27" t="s">
        <v>46</v>
      </c>
      <c r="B27" s="11">
        <v>45905</v>
      </c>
      <c r="C27" s="2">
        <v>26.760000228881839</v>
      </c>
      <c r="D27" s="3">
        <v>9.0963614554178344E-3</v>
      </c>
      <c r="E27" s="4">
        <v>0.74656229713212152</v>
      </c>
      <c r="F27" s="5">
        <v>7.4656229713212152E-3</v>
      </c>
      <c r="G27" s="4">
        <v>11.85130905857222</v>
      </c>
      <c r="H27" s="5">
        <v>0.11851309058572219</v>
      </c>
      <c r="I27" s="3">
        <v>0.12</v>
      </c>
      <c r="J27" s="6">
        <v>11327.249391709171</v>
      </c>
      <c r="K27" s="2">
        <v>1510299.918894555</v>
      </c>
      <c r="L27" s="7">
        <v>8.3130066015961699</v>
      </c>
      <c r="M27" s="8">
        <v>1.0125463727840449</v>
      </c>
      <c r="N27" t="s">
        <v>53</v>
      </c>
      <c r="O27" s="8">
        <v>1.436703800896499</v>
      </c>
      <c r="P27" s="9">
        <v>0.19978007242130119</v>
      </c>
      <c r="Q27" s="6">
        <v>31208.092356924961</v>
      </c>
      <c r="R27" s="6">
        <v>407.85160202329189</v>
      </c>
      <c r="S27" s="2">
        <v>10914.10896349312</v>
      </c>
      <c r="T27" s="3">
        <v>7.2264514001176387E-3</v>
      </c>
      <c r="U27" s="2">
        <v>81.480622589356983</v>
      </c>
      <c r="W27">
        <f>L27/10*M27*(K27/C27)</f>
        <v>47506.182619058069</v>
      </c>
      <c r="X27">
        <f>Q27/W27</f>
        <v>0.65692696479479284</v>
      </c>
      <c r="Y27">
        <f>L27/10*M27*(1000000/C27)</f>
        <v>31454.800483489151</v>
      </c>
      <c r="Z27" s="16">
        <f>Q27/Y27</f>
        <v>0.99215674164922174</v>
      </c>
      <c r="AA27" s="6">
        <f>L27</f>
        <v>8.3130066015961699</v>
      </c>
      <c r="AB27">
        <f>I27*K27/16</f>
        <v>11327.249391709162</v>
      </c>
      <c r="AC27">
        <f>H27*C27</f>
        <v>3.1714103311994202</v>
      </c>
      <c r="AD27">
        <f t="shared" si="8"/>
        <v>3571.6757558222439</v>
      </c>
      <c r="AE27">
        <f t="shared" si="9"/>
        <v>2969.1364136911302</v>
      </c>
      <c r="AF27">
        <f>AE27/Q27</f>
        <v>9.5139952155143176E-2</v>
      </c>
    </row>
    <row r="28" spans="1:32" x14ac:dyDescent="0.25">
      <c r="A28" t="s">
        <v>47</v>
      </c>
      <c r="B28" s="11">
        <v>45905</v>
      </c>
      <c r="C28" s="2">
        <v>83.989997863769531</v>
      </c>
      <c r="D28" s="3">
        <v>9.0963614554178344E-3</v>
      </c>
      <c r="E28" s="4">
        <v>0.29246100841418388</v>
      </c>
      <c r="F28" s="5">
        <v>2.9246100841418391E-3</v>
      </c>
      <c r="G28" s="4">
        <v>4.6426745786825956</v>
      </c>
      <c r="H28" s="5">
        <v>4.6426745786825957E-2</v>
      </c>
      <c r="I28" s="3">
        <v>0.12</v>
      </c>
      <c r="J28" s="6">
        <v>11327.249391709171</v>
      </c>
      <c r="K28" s="2">
        <v>1510299.918894555</v>
      </c>
      <c r="L28" s="7">
        <v>20</v>
      </c>
      <c r="M28" s="8">
        <v>2.584717019603195</v>
      </c>
      <c r="N28" t="s">
        <v>53</v>
      </c>
      <c r="O28" s="8">
        <v>1.436703800896499</v>
      </c>
      <c r="P28" s="9">
        <v>0.2456379947194319</v>
      </c>
      <c r="Q28" s="6">
        <v>61065.471638998788</v>
      </c>
      <c r="R28" s="6">
        <v>798.05103597583661</v>
      </c>
      <c r="S28" s="2">
        <v>67028.304806789572</v>
      </c>
      <c r="T28" s="3">
        <v>4.4380790840437889E-2</v>
      </c>
      <c r="U28" s="2">
        <v>196.03165616086969</v>
      </c>
      <c r="W28">
        <f>L28/10*M28*(K28/C28)</f>
        <v>92956.256801049531</v>
      </c>
      <c r="X28">
        <f>Q28/W28</f>
        <v>0.65692696479479284</v>
      </c>
      <c r="Y28">
        <f>L28/10*M28*(1000000/C28)</f>
        <v>61548.210152250882</v>
      </c>
      <c r="Z28" s="16">
        <f>Q28/Y28</f>
        <v>0.99215674164922174</v>
      </c>
      <c r="AA28" s="6">
        <f>L28</f>
        <v>20</v>
      </c>
      <c r="AB28">
        <f>I28*K28/16</f>
        <v>11327.249391709162</v>
      </c>
      <c r="AC28">
        <f>H28*C28</f>
        <v>3.8993822794572832</v>
      </c>
      <c r="AD28">
        <f t="shared" si="8"/>
        <v>2904.8830250327983</v>
      </c>
      <c r="AE28">
        <f t="shared" si="9"/>
        <v>5809.7660500655966</v>
      </c>
      <c r="AF28">
        <f>AE28/Q28</f>
        <v>9.5139952155143162E-2</v>
      </c>
    </row>
    <row r="29" spans="1:32" x14ac:dyDescent="0.25">
      <c r="A29" t="s">
        <v>48</v>
      </c>
      <c r="B29" s="11">
        <v>45905</v>
      </c>
      <c r="C29" s="2">
        <v>77.050003051757813</v>
      </c>
      <c r="D29" s="3">
        <v>9.0963614554178344E-3</v>
      </c>
      <c r="E29" s="4">
        <v>0.61267032310959879</v>
      </c>
      <c r="F29" s="5">
        <v>6.1267032310959877E-3</v>
      </c>
      <c r="G29" s="4">
        <v>9.7258398637055237</v>
      </c>
      <c r="H29" s="5">
        <v>9.7258398637055238E-2</v>
      </c>
      <c r="I29" s="3">
        <v>0.12</v>
      </c>
      <c r="J29" s="6">
        <v>11327.249391709171</v>
      </c>
      <c r="K29" s="2">
        <v>1510299.918894555</v>
      </c>
      <c r="L29" s="7">
        <v>13.080336994212169</v>
      </c>
      <c r="M29" s="8">
        <v>1.23382660707597</v>
      </c>
      <c r="N29" t="s">
        <v>53</v>
      </c>
      <c r="O29" s="8">
        <v>1.436703800896499</v>
      </c>
      <c r="P29" s="9">
        <v>0.4720625026531603</v>
      </c>
      <c r="Q29" s="6">
        <v>20781.68185467389</v>
      </c>
      <c r="R29" s="6">
        <v>271.59116745200112</v>
      </c>
      <c r="S29" s="2">
        <v>20926.100281007151</v>
      </c>
      <c r="T29" s="3">
        <v>1.3855592534444249E-2</v>
      </c>
      <c r="U29" s="2">
        <v>128.2080062058852</v>
      </c>
      <c r="W29">
        <f>L29/10*M29*(K29/C29)</f>
        <v>31634.691477713306</v>
      </c>
      <c r="X29">
        <f>Q29/W29</f>
        <v>0.65692696479479251</v>
      </c>
      <c r="Y29">
        <f>L29/10*M29*(1000000/C29)</f>
        <v>20945.966481192634</v>
      </c>
      <c r="Z29" s="16">
        <f>Q29/Y29</f>
        <v>0.99215674164922141</v>
      </c>
      <c r="AA29" s="6">
        <f>L29</f>
        <v>13.080336994212169</v>
      </c>
      <c r="AB29">
        <f>I29*K29/16</f>
        <v>11327.249391709162</v>
      </c>
      <c r="AC29">
        <f>H29*C29</f>
        <v>7.493759911794184</v>
      </c>
      <c r="AD29">
        <f t="shared" si="8"/>
        <v>1511.55755255537</v>
      </c>
      <c r="AE29">
        <f t="shared" si="9"/>
        <v>1977.1682173570812</v>
      </c>
      <c r="AF29">
        <f>AE29/Q29</f>
        <v>9.5139952155143176E-2</v>
      </c>
    </row>
    <row r="30" spans="1:32" x14ac:dyDescent="0.25">
      <c r="A30" t="s">
        <v>49</v>
      </c>
      <c r="B30" s="11">
        <v>45905</v>
      </c>
      <c r="C30" s="2">
        <v>78.569999694824219</v>
      </c>
      <c r="D30" s="3">
        <v>0.1124550179928029</v>
      </c>
      <c r="E30" s="4">
        <v>0.74999668090576588</v>
      </c>
      <c r="F30" s="5">
        <v>7.4999668090576588E-3</v>
      </c>
      <c r="G30" s="4">
        <v>11.905828210803129</v>
      </c>
      <c r="H30" s="5">
        <v>0.11905828210803129</v>
      </c>
      <c r="I30" s="3">
        <v>0.12</v>
      </c>
      <c r="J30" s="6">
        <v>11327.249391709171</v>
      </c>
      <c r="K30" s="2">
        <v>1510299.918894555</v>
      </c>
      <c r="L30" s="7">
        <v>8.0677527333081169</v>
      </c>
      <c r="M30" s="8">
        <v>1.007909721821068</v>
      </c>
      <c r="N30" t="s">
        <v>53</v>
      </c>
      <c r="O30" s="8">
        <v>1.436703800896499</v>
      </c>
      <c r="P30" s="9">
        <v>0.589272389898852</v>
      </c>
      <c r="Q30" s="6">
        <v>10268.28111023444</v>
      </c>
      <c r="R30" s="6">
        <v>1658.990235135685</v>
      </c>
      <c r="S30" s="2">
        <v>130346.8622683271</v>
      </c>
      <c r="T30" s="3">
        <v>8.6305283233897565E-2</v>
      </c>
      <c r="U30" s="2">
        <v>977.5971406772635</v>
      </c>
      <c r="W30">
        <f>L30/10*M30*(K30/C30)</f>
        <v>15630.780376692252</v>
      </c>
      <c r="X30">
        <f>Q30/W30</f>
        <v>0.65692696479479229</v>
      </c>
      <c r="Y30">
        <f>L30/10*M30*(1000000/C30)</f>
        <v>10349.454556107641</v>
      </c>
      <c r="Z30" s="16">
        <f>Q30/Y30</f>
        <v>0.99215674164922085</v>
      </c>
      <c r="AA30" s="6">
        <f>L30</f>
        <v>8.0677527333081169</v>
      </c>
      <c r="AB30">
        <f>I30*K30/16</f>
        <v>11327.249391709162</v>
      </c>
      <c r="AC30">
        <f>H30*C30</f>
        <v>9.3544091888943139</v>
      </c>
      <c r="AD30">
        <f t="shared" si="8"/>
        <v>1210.8994980845002</v>
      </c>
      <c r="AE30">
        <f t="shared" si="9"/>
        <v>976.92377354326538</v>
      </c>
      <c r="AF30">
        <f>AE30/Q30</f>
        <v>9.5139952155143204E-2</v>
      </c>
    </row>
    <row r="31" spans="1:32" x14ac:dyDescent="0.25">
      <c r="A31" t="s">
        <v>50</v>
      </c>
      <c r="B31" s="11">
        <v>45905</v>
      </c>
      <c r="C31" s="2">
        <v>46.880001068115227</v>
      </c>
      <c r="D31" s="3">
        <v>7.297081167532987E-3</v>
      </c>
      <c r="E31" s="4">
        <v>0.28763802515378872</v>
      </c>
      <c r="F31" s="5">
        <v>2.8763802515378869E-3</v>
      </c>
      <c r="G31" s="4">
        <v>4.5661120929759971</v>
      </c>
      <c r="H31" s="5">
        <v>4.566112092975997E-2</v>
      </c>
      <c r="I31" s="3">
        <v>0.12</v>
      </c>
      <c r="J31" s="6">
        <v>11327.249391709171</v>
      </c>
      <c r="K31" s="2">
        <v>1510299.918894555</v>
      </c>
      <c r="L31" s="7">
        <v>19.24152415869731</v>
      </c>
      <c r="M31" s="8">
        <v>2.628056376114698</v>
      </c>
      <c r="N31" t="s">
        <v>53</v>
      </c>
      <c r="O31" s="8">
        <v>1.436703800896499</v>
      </c>
      <c r="P31" s="9">
        <v>0.1348447092644017</v>
      </c>
      <c r="Q31" s="6">
        <v>107020.46226171609</v>
      </c>
      <c r="R31" s="6">
        <v>1121.9751557504919</v>
      </c>
      <c r="S31" s="2">
        <v>52598.19649998183</v>
      </c>
      <c r="T31" s="3">
        <v>3.4826325448312552E-2</v>
      </c>
      <c r="U31" s="2">
        <v>151.29241367905689</v>
      </c>
      <c r="W31">
        <f>L31/10*M31*(K31/C31)</f>
        <v>162910.74654721562</v>
      </c>
      <c r="X31">
        <f>Q31/W31</f>
        <v>0.65692696479479262</v>
      </c>
      <c r="Y31">
        <f>L31/10*M31*(1000000/C31)</f>
        <v>107866.48698654243</v>
      </c>
      <c r="Z31" s="16">
        <f>Q31/Y31</f>
        <v>0.99215674164922152</v>
      </c>
      <c r="AA31" s="6">
        <f>L31</f>
        <v>19.24152415869731</v>
      </c>
      <c r="AB31">
        <f>I31*K31/16</f>
        <v>11327.249391709162</v>
      </c>
      <c r="AC31">
        <f>H31*C31</f>
        <v>2.1405933979584861</v>
      </c>
      <c r="AD31">
        <f t="shared" si="8"/>
        <v>5291.6398800968545</v>
      </c>
      <c r="AE31">
        <f t="shared" si="9"/>
        <v>10181.921659200976</v>
      </c>
      <c r="AF31">
        <f>AE31/Q31</f>
        <v>9.513995215514319E-2</v>
      </c>
    </row>
    <row r="32" spans="1:32" x14ac:dyDescent="0.25">
      <c r="A32" t="s">
        <v>51</v>
      </c>
      <c r="B32" s="11">
        <v>45905</v>
      </c>
      <c r="C32" s="2">
        <v>66.650001525878906</v>
      </c>
      <c r="D32" s="3">
        <v>2.479008396641344E-2</v>
      </c>
      <c r="E32" s="4">
        <v>0.35198499369699188</v>
      </c>
      <c r="F32" s="5">
        <v>3.519849936969919E-3</v>
      </c>
      <c r="G32" s="4">
        <v>5.5875885512932681</v>
      </c>
      <c r="H32" s="5">
        <v>5.5875885512932683E-2</v>
      </c>
      <c r="I32" s="3">
        <v>0.12</v>
      </c>
      <c r="J32" s="6">
        <v>11327.249391709171</v>
      </c>
      <c r="K32" s="2">
        <v>1510299.918894555</v>
      </c>
      <c r="L32" s="7">
        <v>19.129090426882922</v>
      </c>
      <c r="M32" s="8">
        <v>2.1476169710496231</v>
      </c>
      <c r="N32" t="s">
        <v>53</v>
      </c>
      <c r="O32" s="8">
        <v>1.436703800896499</v>
      </c>
      <c r="P32" s="9">
        <v>0.23459800366990979</v>
      </c>
      <c r="Q32" s="6">
        <v>61154.901558108817</v>
      </c>
      <c r="R32" s="6">
        <v>2178.0934545261339</v>
      </c>
      <c r="S32" s="2">
        <v>145169.93206767371</v>
      </c>
      <c r="T32" s="3">
        <v>9.611993634610598E-2</v>
      </c>
      <c r="U32" s="2">
        <v>510.97637623832861</v>
      </c>
      <c r="W32">
        <f>L32/10*M32*(K32/C32)</f>
        <v>93092.390532655423</v>
      </c>
      <c r="X32">
        <f>Q32/W32</f>
        <v>0.65692696479479262</v>
      </c>
      <c r="Y32">
        <f>L32/10*M32*(1000000/C32)</f>
        <v>61638.347038244719</v>
      </c>
      <c r="Z32" s="16">
        <f>Q32/Y32</f>
        <v>0.99215674164922141</v>
      </c>
      <c r="AA32" s="6">
        <f>L32</f>
        <v>19.129090426882922</v>
      </c>
      <c r="AB32">
        <f>I32*K32/16</f>
        <v>11327.249391709162</v>
      </c>
      <c r="AC32">
        <f>H32*C32</f>
        <v>3.7241278546967984</v>
      </c>
      <c r="AD32">
        <f t="shared" si="8"/>
        <v>3041.5844551156997</v>
      </c>
      <c r="AE32">
        <f t="shared" si="9"/>
        <v>5818.2744082909639</v>
      </c>
      <c r="AF32">
        <f>AE32/Q32</f>
        <v>9.5139952155143176E-2</v>
      </c>
    </row>
    <row r="33" spans="1:32" x14ac:dyDescent="0.25">
      <c r="A33" t="s">
        <v>52</v>
      </c>
      <c r="B33" s="11">
        <v>45905</v>
      </c>
      <c r="C33" s="2">
        <v>38.840000152587891</v>
      </c>
      <c r="D33" s="3">
        <v>2.35905637744902E-2</v>
      </c>
      <c r="E33" s="4">
        <v>0.5684452689284808</v>
      </c>
      <c r="F33" s="5">
        <v>5.6844526892848076E-3</v>
      </c>
      <c r="G33" s="4">
        <v>9.0237888932159507</v>
      </c>
      <c r="H33" s="5">
        <v>9.0237888932159505E-2</v>
      </c>
      <c r="I33" s="3">
        <v>0.12</v>
      </c>
      <c r="J33" s="6">
        <v>11327.249391709171</v>
      </c>
      <c r="K33" s="2">
        <v>1510299.918894555</v>
      </c>
      <c r="L33" s="7">
        <v>11.65698835742465</v>
      </c>
      <c r="M33" s="8">
        <v>1.329818343713864</v>
      </c>
      <c r="N33" t="s">
        <v>53</v>
      </c>
      <c r="O33" s="8">
        <v>1.436703800896499</v>
      </c>
      <c r="P33" s="9">
        <v>0.2207841433192006</v>
      </c>
      <c r="Q33" s="6">
        <v>39598.592256820702</v>
      </c>
      <c r="R33" s="6">
        <v>1342.101332404013</v>
      </c>
      <c r="S33" s="2">
        <v>52127.215955360247</v>
      </c>
      <c r="T33" s="3">
        <v>3.4514479742218419E-2</v>
      </c>
      <c r="U33" s="2">
        <v>296.3146929223775</v>
      </c>
      <c r="W33">
        <f>L33/10*M33*(K33/C33)</f>
        <v>60278.530763599098</v>
      </c>
      <c r="X33">
        <f>Q33/W33</f>
        <v>0.65692696479479284</v>
      </c>
      <c r="Y33">
        <f>L33/10*M33*(1000000/C33)</f>
        <v>39911.629478017327</v>
      </c>
      <c r="Z33" s="16">
        <f>Q33/Y33</f>
        <v>0.99215674164922185</v>
      </c>
      <c r="AA33" s="6">
        <f>L33</f>
        <v>11.65698835742465</v>
      </c>
      <c r="AB33">
        <f>I33*K33/16</f>
        <v>11327.249391709162</v>
      </c>
      <c r="AC33">
        <f>H33*C33</f>
        <v>3.5048396198942844</v>
      </c>
      <c r="AD33">
        <f t="shared" si="8"/>
        <v>3231.8880805310064</v>
      </c>
      <c r="AE33">
        <f t="shared" si="9"/>
        <v>3767.4081727249436</v>
      </c>
      <c r="AF33">
        <f>AE33/Q33</f>
        <v>9.5139952155143148E-2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 x14ac:dyDescent="0.25"/>
  <cols>
    <col min="1" max="1" width="22.140625" bestFit="1" customWidth="1"/>
  </cols>
  <sheetData>
    <row r="1" spans="1:2" x14ac:dyDescent="0.25">
      <c r="A1" s="10" t="s">
        <v>54</v>
      </c>
      <c r="B1" s="10" t="s">
        <v>55</v>
      </c>
    </row>
    <row r="2" spans="1:2" x14ac:dyDescent="0.25">
      <c r="A2" t="s">
        <v>56</v>
      </c>
      <c r="B2" t="s">
        <v>62</v>
      </c>
    </row>
    <row r="3" spans="1:2" x14ac:dyDescent="0.25">
      <c r="A3" t="s">
        <v>57</v>
      </c>
      <c r="B3" t="s">
        <v>63</v>
      </c>
    </row>
    <row r="4" spans="1:2" x14ac:dyDescent="0.25">
      <c r="A4" t="s">
        <v>58</v>
      </c>
      <c r="B4" t="s">
        <v>64</v>
      </c>
    </row>
    <row r="5" spans="1:2" x14ac:dyDescent="0.25">
      <c r="A5" t="s">
        <v>59</v>
      </c>
      <c r="B5" t="s">
        <v>64</v>
      </c>
    </row>
    <row r="6" spans="1:2" x14ac:dyDescent="0.25">
      <c r="A6" t="s">
        <v>60</v>
      </c>
      <c r="B6" t="s">
        <v>65</v>
      </c>
    </row>
    <row r="7" spans="1:2" x14ac:dyDescent="0.25">
      <c r="A7" t="s">
        <v>61</v>
      </c>
      <c r="B7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5" x14ac:dyDescent="0.25"/>
  <sheetData>
    <row r="1" spans="1:2" x14ac:dyDescent="0.25">
      <c r="A1" s="10" t="s">
        <v>67</v>
      </c>
      <c r="B1" s="10" t="s">
        <v>68</v>
      </c>
    </row>
    <row r="2" spans="1:2" x14ac:dyDescent="0.25">
      <c r="A2" t="s">
        <v>69</v>
      </c>
      <c r="B2" t="s">
        <v>72</v>
      </c>
    </row>
    <row r="3" spans="1:2" x14ac:dyDescent="0.25">
      <c r="A3" t="s">
        <v>59</v>
      </c>
      <c r="B3" t="s">
        <v>73</v>
      </c>
    </row>
    <row r="4" spans="1:2" x14ac:dyDescent="0.25">
      <c r="A4" t="s">
        <v>70</v>
      </c>
      <c r="B4" t="s">
        <v>74</v>
      </c>
    </row>
    <row r="5" spans="1:2" x14ac:dyDescent="0.25">
      <c r="A5" t="s">
        <v>71</v>
      </c>
      <c r="B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Final_Day_Report</vt:lpstr>
      <vt:lpstr>Leverage_Analysis</vt:lpstr>
      <vt:lpstr>Leverage_Controls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Lee, Rosario (HK)</cp:lastModifiedBy>
  <dcterms:created xsi:type="dcterms:W3CDTF">2025-09-08T03:44:37Z</dcterms:created>
  <dcterms:modified xsi:type="dcterms:W3CDTF">2025-09-14T13:58:02Z</dcterms:modified>
</cp:coreProperties>
</file>