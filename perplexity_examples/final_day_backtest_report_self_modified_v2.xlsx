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PycharmProjects\PySystemTrade\pysystemtrade\perplexity_examples\"/>
    </mc:Choice>
  </mc:AlternateContent>
  <xr:revisionPtr revIDLastSave="0" documentId="13_ncr:1_{7555008F-8855-4A8E-B1B3-4A37A8758041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Final_Day_Report" sheetId="1" r:id="rId1"/>
    <sheet name="BBAX_Timeseries" sheetId="2" r:id="rId2"/>
    <sheet name="IVV_Timeseries" sheetId="3" r:id="rId3"/>
    <sheet name="HYD_Timeseries" sheetId="4" r:id="rId4"/>
    <sheet name="Leverage_Analysis" sheetId="5" r:id="rId5"/>
    <sheet name="Leverage_Controls" sheetId="6" r:id="rId6"/>
  </sheets>
  <definedNames>
    <definedName name="_xlnm._FilterDatabase" localSheetId="3" hidden="1">HYD_Timeseries!$A$1:$X$101</definedName>
    <definedName name="_xlnm._FilterDatabase" localSheetId="2" hidden="1">IVV_Timeseries!$A$1:$Z$1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1" i="3" l="1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Y5" i="4"/>
  <c r="Y4" i="4"/>
  <c r="Y3" i="4"/>
  <c r="Y2" i="4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W2" i="3"/>
  <c r="Z12" i="1"/>
  <c r="Y12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1" i="1"/>
  <c r="Z10" i="1"/>
  <c r="Z9" i="1"/>
  <c r="Z8" i="1"/>
  <c r="Z7" i="1"/>
  <c r="Z6" i="1"/>
  <c r="Z5" i="1"/>
  <c r="Z4" i="1"/>
  <c r="Z3" i="1"/>
  <c r="Z2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8" i="1"/>
  <c r="Y17" i="1"/>
  <c r="Y16" i="1"/>
  <c r="Y15" i="1"/>
  <c r="Y14" i="1"/>
  <c r="Y13" i="1"/>
  <c r="Y11" i="1"/>
  <c r="Y10" i="1"/>
  <c r="Y9" i="1"/>
  <c r="Y8" i="1"/>
  <c r="Y7" i="1"/>
  <c r="Y6" i="1"/>
  <c r="Y5" i="1"/>
  <c r="Y4" i="1"/>
  <c r="Y3" i="1"/>
  <c r="Y2" i="1"/>
  <c r="Y19" i="1"/>
  <c r="W101" i="3"/>
  <c r="X101" i="3" s="1"/>
  <c r="W100" i="3"/>
  <c r="X100" i="3" s="1"/>
  <c r="W99" i="3"/>
  <c r="X99" i="3" s="1"/>
  <c r="X98" i="3"/>
  <c r="W98" i="3"/>
  <c r="W97" i="3"/>
  <c r="X97" i="3" s="1"/>
  <c r="W96" i="3"/>
  <c r="X96" i="3" s="1"/>
  <c r="W95" i="3"/>
  <c r="X95" i="3" s="1"/>
  <c r="X94" i="3"/>
  <c r="W94" i="3"/>
  <c r="W93" i="3"/>
  <c r="X93" i="3" s="1"/>
  <c r="W92" i="3"/>
  <c r="X92" i="3" s="1"/>
  <c r="W91" i="3"/>
  <c r="X91" i="3" s="1"/>
  <c r="X90" i="3"/>
  <c r="W90" i="3"/>
  <c r="W89" i="3"/>
  <c r="X89" i="3" s="1"/>
  <c r="W88" i="3"/>
  <c r="X88" i="3" s="1"/>
  <c r="W87" i="3"/>
  <c r="X87" i="3" s="1"/>
  <c r="X86" i="3"/>
  <c r="W86" i="3"/>
  <c r="W85" i="3"/>
  <c r="X85" i="3" s="1"/>
  <c r="W84" i="3"/>
  <c r="X84" i="3" s="1"/>
  <c r="W83" i="3"/>
  <c r="X83" i="3" s="1"/>
  <c r="X82" i="3"/>
  <c r="W82" i="3"/>
  <c r="W81" i="3"/>
  <c r="X81" i="3" s="1"/>
  <c r="W80" i="3"/>
  <c r="X80" i="3" s="1"/>
  <c r="W79" i="3"/>
  <c r="X79" i="3" s="1"/>
  <c r="X78" i="3"/>
  <c r="W78" i="3"/>
  <c r="W77" i="3"/>
  <c r="X77" i="3" s="1"/>
  <c r="W76" i="3"/>
  <c r="X76" i="3" s="1"/>
  <c r="W75" i="3"/>
  <c r="X75" i="3" s="1"/>
  <c r="X74" i="3"/>
  <c r="W74" i="3"/>
  <c r="W73" i="3"/>
  <c r="X73" i="3" s="1"/>
  <c r="W72" i="3"/>
  <c r="X72" i="3" s="1"/>
  <c r="W71" i="3"/>
  <c r="X71" i="3" s="1"/>
  <c r="X70" i="3"/>
  <c r="W70" i="3"/>
  <c r="W69" i="3"/>
  <c r="X69" i="3" s="1"/>
  <c r="W68" i="3"/>
  <c r="X68" i="3" s="1"/>
  <c r="W67" i="3"/>
  <c r="X67" i="3" s="1"/>
  <c r="X66" i="3"/>
  <c r="W66" i="3"/>
  <c r="W65" i="3"/>
  <c r="X65" i="3" s="1"/>
  <c r="W64" i="3"/>
  <c r="X64" i="3" s="1"/>
  <c r="W63" i="3"/>
  <c r="X63" i="3" s="1"/>
  <c r="X62" i="3"/>
  <c r="W62" i="3"/>
  <c r="W61" i="3"/>
  <c r="X61" i="3" s="1"/>
  <c r="W60" i="3"/>
  <c r="X60" i="3" s="1"/>
  <c r="W59" i="3"/>
  <c r="X59" i="3" s="1"/>
  <c r="X58" i="3"/>
  <c r="W58" i="3"/>
  <c r="W57" i="3"/>
  <c r="X57" i="3" s="1"/>
  <c r="W56" i="3"/>
  <c r="X56" i="3" s="1"/>
  <c r="W55" i="3"/>
  <c r="X55" i="3" s="1"/>
  <c r="X54" i="3"/>
  <c r="W54" i="3"/>
  <c r="W53" i="3"/>
  <c r="X53" i="3" s="1"/>
  <c r="W52" i="3"/>
  <c r="X52" i="3" s="1"/>
  <c r="W51" i="3"/>
  <c r="X51" i="3" s="1"/>
  <c r="X50" i="3"/>
  <c r="W50" i="3"/>
  <c r="W49" i="3"/>
  <c r="X49" i="3" s="1"/>
  <c r="W48" i="3"/>
  <c r="X48" i="3" s="1"/>
  <c r="W47" i="3"/>
  <c r="X47" i="3" s="1"/>
  <c r="X46" i="3"/>
  <c r="W46" i="3"/>
  <c r="W45" i="3"/>
  <c r="X45" i="3" s="1"/>
  <c r="W44" i="3"/>
  <c r="X44" i="3" s="1"/>
  <c r="W43" i="3"/>
  <c r="X43" i="3" s="1"/>
  <c r="X42" i="3"/>
  <c r="W42" i="3"/>
  <c r="W41" i="3"/>
  <c r="X41" i="3" s="1"/>
  <c r="W40" i="3"/>
  <c r="X40" i="3" s="1"/>
  <c r="W39" i="3"/>
  <c r="X39" i="3" s="1"/>
  <c r="X38" i="3"/>
  <c r="W38" i="3"/>
  <c r="W37" i="3"/>
  <c r="X37" i="3" s="1"/>
  <c r="W36" i="3"/>
  <c r="X36" i="3" s="1"/>
  <c r="W35" i="3"/>
  <c r="X35" i="3" s="1"/>
  <c r="X34" i="3"/>
  <c r="W34" i="3"/>
  <c r="W33" i="3"/>
  <c r="X33" i="3" s="1"/>
  <c r="W101" i="4"/>
  <c r="X101" i="4" s="1"/>
  <c r="W100" i="4"/>
  <c r="X100" i="4" s="1"/>
  <c r="X99" i="4"/>
  <c r="W99" i="4"/>
  <c r="W98" i="4"/>
  <c r="X98" i="4" s="1"/>
  <c r="W97" i="4"/>
  <c r="X97" i="4" s="1"/>
  <c r="W96" i="4"/>
  <c r="X96" i="4" s="1"/>
  <c r="X95" i="4"/>
  <c r="W95" i="4"/>
  <c r="W94" i="4"/>
  <c r="X94" i="4" s="1"/>
  <c r="W93" i="4"/>
  <c r="X93" i="4" s="1"/>
  <c r="W92" i="4"/>
  <c r="X92" i="4" s="1"/>
  <c r="X91" i="4"/>
  <c r="W91" i="4"/>
  <c r="W90" i="4"/>
  <c r="X90" i="4" s="1"/>
  <c r="W89" i="4"/>
  <c r="X89" i="4" s="1"/>
  <c r="W88" i="4"/>
  <c r="X88" i="4" s="1"/>
  <c r="X87" i="4"/>
  <c r="W87" i="4"/>
  <c r="W86" i="4"/>
  <c r="X86" i="4" s="1"/>
  <c r="W85" i="4"/>
  <c r="X85" i="4" s="1"/>
  <c r="W84" i="4"/>
  <c r="X84" i="4" s="1"/>
  <c r="X83" i="4"/>
  <c r="W83" i="4"/>
  <c r="W82" i="4"/>
  <c r="X82" i="4" s="1"/>
  <c r="W81" i="4"/>
  <c r="X81" i="4" s="1"/>
  <c r="W80" i="4"/>
  <c r="X80" i="4" s="1"/>
  <c r="X79" i="4"/>
  <c r="W79" i="4"/>
  <c r="W78" i="4"/>
  <c r="X78" i="4" s="1"/>
  <c r="W77" i="4"/>
  <c r="X77" i="4" s="1"/>
  <c r="W76" i="4"/>
  <c r="X76" i="4" s="1"/>
  <c r="X75" i="4"/>
  <c r="W75" i="4"/>
  <c r="W74" i="4"/>
  <c r="X74" i="4" s="1"/>
  <c r="W73" i="4"/>
  <c r="X73" i="4" s="1"/>
  <c r="W72" i="4"/>
  <c r="X72" i="4" s="1"/>
  <c r="X71" i="4"/>
  <c r="W71" i="4"/>
  <c r="W70" i="4"/>
  <c r="X70" i="4" s="1"/>
  <c r="W69" i="4"/>
  <c r="X69" i="4" s="1"/>
  <c r="W68" i="4"/>
  <c r="X68" i="4" s="1"/>
  <c r="X67" i="4"/>
  <c r="W67" i="4"/>
  <c r="W66" i="4"/>
  <c r="X66" i="4" s="1"/>
  <c r="W65" i="4"/>
  <c r="X65" i="4" s="1"/>
  <c r="W64" i="4"/>
  <c r="X64" i="4" s="1"/>
  <c r="X63" i="4"/>
  <c r="W63" i="4"/>
  <c r="W62" i="4"/>
  <c r="X62" i="4" s="1"/>
  <c r="W61" i="4"/>
  <c r="X61" i="4" s="1"/>
  <c r="W60" i="4"/>
  <c r="X60" i="4" s="1"/>
  <c r="X59" i="4"/>
  <c r="W59" i="4"/>
  <c r="W58" i="4"/>
  <c r="X58" i="4" s="1"/>
  <c r="W57" i="4"/>
  <c r="X57" i="4" s="1"/>
  <c r="W56" i="4"/>
  <c r="X56" i="4" s="1"/>
  <c r="X55" i="4"/>
  <c r="W55" i="4"/>
  <c r="W54" i="4"/>
  <c r="X54" i="4" s="1"/>
  <c r="W53" i="4"/>
  <c r="X53" i="4" s="1"/>
  <c r="W52" i="4"/>
  <c r="X52" i="4" s="1"/>
  <c r="X51" i="4"/>
  <c r="W51" i="4"/>
  <c r="W50" i="4"/>
  <c r="X50" i="4" s="1"/>
  <c r="W49" i="4"/>
  <c r="X49" i="4" s="1"/>
  <c r="W48" i="4"/>
  <c r="X48" i="4" s="1"/>
  <c r="X47" i="4"/>
  <c r="W47" i="4"/>
  <c r="W46" i="4"/>
  <c r="X46" i="4" s="1"/>
  <c r="W45" i="4"/>
  <c r="X45" i="4" s="1"/>
  <c r="W44" i="4"/>
  <c r="X44" i="4" s="1"/>
  <c r="X43" i="4"/>
  <c r="W43" i="4"/>
  <c r="W42" i="4"/>
  <c r="X42" i="4" s="1"/>
  <c r="W41" i="4"/>
  <c r="X41" i="4" s="1"/>
  <c r="W40" i="4"/>
  <c r="X40" i="4" s="1"/>
  <c r="X39" i="4"/>
  <c r="W39" i="4"/>
  <c r="W38" i="4"/>
  <c r="X38" i="4" s="1"/>
  <c r="W37" i="4"/>
  <c r="X37" i="4" s="1"/>
  <c r="W36" i="4"/>
  <c r="X36" i="4" s="1"/>
  <c r="X35" i="4"/>
  <c r="W35" i="4"/>
  <c r="W34" i="4"/>
  <c r="X34" i="4" s="1"/>
  <c r="W33" i="4"/>
  <c r="X33" i="4" s="1"/>
  <c r="W101" i="2"/>
  <c r="X101" i="2" s="1"/>
  <c r="X100" i="2"/>
  <c r="W100" i="2"/>
  <c r="W99" i="2"/>
  <c r="X99" i="2" s="1"/>
  <c r="W98" i="2"/>
  <c r="X98" i="2" s="1"/>
  <c r="W97" i="2"/>
  <c r="X97" i="2" s="1"/>
  <c r="X96" i="2"/>
  <c r="W96" i="2"/>
  <c r="W95" i="2"/>
  <c r="X95" i="2" s="1"/>
  <c r="W94" i="2"/>
  <c r="X94" i="2" s="1"/>
  <c r="W93" i="2"/>
  <c r="X93" i="2" s="1"/>
  <c r="X92" i="2"/>
  <c r="W92" i="2"/>
  <c r="W91" i="2"/>
  <c r="X91" i="2" s="1"/>
  <c r="W90" i="2"/>
  <c r="X90" i="2" s="1"/>
  <c r="W89" i="2"/>
  <c r="X89" i="2" s="1"/>
  <c r="X88" i="2"/>
  <c r="W88" i="2"/>
  <c r="W87" i="2"/>
  <c r="X87" i="2" s="1"/>
  <c r="W86" i="2"/>
  <c r="X86" i="2" s="1"/>
  <c r="W85" i="2"/>
  <c r="X85" i="2" s="1"/>
  <c r="X84" i="2"/>
  <c r="W84" i="2"/>
  <c r="W83" i="2"/>
  <c r="X83" i="2" s="1"/>
  <c r="W82" i="2"/>
  <c r="X82" i="2" s="1"/>
  <c r="W81" i="2"/>
  <c r="X81" i="2" s="1"/>
  <c r="X80" i="2"/>
  <c r="W80" i="2"/>
  <c r="W79" i="2"/>
  <c r="X79" i="2" s="1"/>
  <c r="W78" i="2"/>
  <c r="X78" i="2" s="1"/>
  <c r="W77" i="2"/>
  <c r="X77" i="2" s="1"/>
  <c r="X76" i="2"/>
  <c r="W76" i="2"/>
  <c r="W75" i="2"/>
  <c r="X75" i="2" s="1"/>
  <c r="W74" i="2"/>
  <c r="X74" i="2" s="1"/>
  <c r="W73" i="2"/>
  <c r="X73" i="2" s="1"/>
  <c r="X72" i="2"/>
  <c r="W72" i="2"/>
  <c r="W71" i="2"/>
  <c r="X71" i="2" s="1"/>
  <c r="W70" i="2"/>
  <c r="X70" i="2" s="1"/>
  <c r="W69" i="2"/>
  <c r="X69" i="2" s="1"/>
  <c r="X68" i="2"/>
  <c r="W68" i="2"/>
  <c r="W67" i="2"/>
  <c r="X67" i="2" s="1"/>
  <c r="W66" i="2"/>
  <c r="X66" i="2" s="1"/>
  <c r="W65" i="2"/>
  <c r="X65" i="2" s="1"/>
  <c r="X64" i="2"/>
  <c r="W64" i="2"/>
  <c r="W63" i="2"/>
  <c r="X63" i="2" s="1"/>
  <c r="W62" i="2"/>
  <c r="X62" i="2" s="1"/>
  <c r="W61" i="2"/>
  <c r="X61" i="2" s="1"/>
  <c r="X60" i="2"/>
  <c r="W60" i="2"/>
  <c r="W59" i="2"/>
  <c r="X59" i="2" s="1"/>
  <c r="W58" i="2"/>
  <c r="X58" i="2" s="1"/>
  <c r="W57" i="2"/>
  <c r="X57" i="2" s="1"/>
  <c r="X56" i="2"/>
  <c r="W56" i="2"/>
  <c r="W55" i="2"/>
  <c r="X55" i="2" s="1"/>
  <c r="W54" i="2"/>
  <c r="X54" i="2" s="1"/>
  <c r="W53" i="2"/>
  <c r="X53" i="2" s="1"/>
  <c r="X52" i="2"/>
  <c r="W52" i="2"/>
  <c r="W51" i="2"/>
  <c r="X51" i="2" s="1"/>
  <c r="W50" i="2"/>
  <c r="X50" i="2" s="1"/>
  <c r="W49" i="2"/>
  <c r="X49" i="2" s="1"/>
  <c r="X48" i="2"/>
  <c r="W48" i="2"/>
  <c r="W47" i="2"/>
  <c r="X47" i="2" s="1"/>
  <c r="W46" i="2"/>
  <c r="X46" i="2" s="1"/>
  <c r="W45" i="2"/>
  <c r="X45" i="2" s="1"/>
  <c r="X44" i="2"/>
  <c r="W44" i="2"/>
  <c r="W43" i="2"/>
  <c r="X43" i="2" s="1"/>
  <c r="W42" i="2"/>
  <c r="X42" i="2" s="1"/>
  <c r="W41" i="2"/>
  <c r="X41" i="2" s="1"/>
  <c r="X40" i="2"/>
  <c r="W40" i="2"/>
  <c r="W39" i="2"/>
  <c r="X39" i="2" s="1"/>
  <c r="W38" i="2"/>
  <c r="X38" i="2" s="1"/>
  <c r="W37" i="2"/>
  <c r="X37" i="2" s="1"/>
  <c r="X36" i="2"/>
  <c r="W36" i="2"/>
  <c r="W35" i="2"/>
  <c r="X35" i="2" s="1"/>
  <c r="W34" i="2"/>
  <c r="X34" i="2" s="1"/>
  <c r="W33" i="2"/>
  <c r="X33" i="2" s="1"/>
  <c r="W32" i="3"/>
  <c r="X32" i="3" s="1"/>
  <c r="W31" i="3"/>
  <c r="X31" i="3" s="1"/>
  <c r="X30" i="3"/>
  <c r="W30" i="3"/>
  <c r="W29" i="3"/>
  <c r="X29" i="3" s="1"/>
  <c r="W28" i="3"/>
  <c r="X28" i="3" s="1"/>
  <c r="W27" i="3"/>
  <c r="X27" i="3" s="1"/>
  <c r="X26" i="3"/>
  <c r="W26" i="3"/>
  <c r="W25" i="3"/>
  <c r="X25" i="3" s="1"/>
  <c r="W24" i="3"/>
  <c r="X24" i="3" s="1"/>
  <c r="W23" i="3"/>
  <c r="X23" i="3" s="1"/>
  <c r="X22" i="3"/>
  <c r="W22" i="3"/>
  <c r="W21" i="3"/>
  <c r="X21" i="3" s="1"/>
  <c r="W20" i="3"/>
  <c r="X20" i="3" s="1"/>
  <c r="W19" i="3"/>
  <c r="X19" i="3" s="1"/>
  <c r="X18" i="3"/>
  <c r="W18" i="3"/>
  <c r="W17" i="3"/>
  <c r="X17" i="3" s="1"/>
  <c r="W16" i="3"/>
  <c r="X16" i="3" s="1"/>
  <c r="W15" i="3"/>
  <c r="X15" i="3" s="1"/>
  <c r="X14" i="3"/>
  <c r="W14" i="3"/>
  <c r="W13" i="3"/>
  <c r="X13" i="3" s="1"/>
  <c r="W12" i="3"/>
  <c r="X12" i="3" s="1"/>
  <c r="W11" i="3"/>
  <c r="X11" i="3" s="1"/>
  <c r="X10" i="3"/>
  <c r="W10" i="3"/>
  <c r="W9" i="3"/>
  <c r="X9" i="3" s="1"/>
  <c r="W8" i="3"/>
  <c r="X8" i="3" s="1"/>
  <c r="W7" i="3"/>
  <c r="X7" i="3" s="1"/>
  <c r="X6" i="3"/>
  <c r="W6" i="3"/>
  <c r="W5" i="3"/>
  <c r="X5" i="3" s="1"/>
  <c r="W4" i="3"/>
  <c r="X4" i="3" s="1"/>
  <c r="W3" i="3"/>
  <c r="X3" i="3" s="1"/>
  <c r="X2" i="3"/>
  <c r="W32" i="4"/>
  <c r="X32" i="4" s="1"/>
  <c r="W31" i="4"/>
  <c r="X31" i="4" s="1"/>
  <c r="X30" i="4"/>
  <c r="W30" i="4"/>
  <c r="W29" i="4"/>
  <c r="X29" i="4" s="1"/>
  <c r="W28" i="4"/>
  <c r="X28" i="4" s="1"/>
  <c r="W27" i="4"/>
  <c r="X27" i="4" s="1"/>
  <c r="X26" i="4"/>
  <c r="W26" i="4"/>
  <c r="W25" i="4"/>
  <c r="X25" i="4" s="1"/>
  <c r="W24" i="4"/>
  <c r="X24" i="4" s="1"/>
  <c r="W23" i="4"/>
  <c r="X23" i="4" s="1"/>
  <c r="X22" i="4"/>
  <c r="W22" i="4"/>
  <c r="W21" i="4"/>
  <c r="X21" i="4" s="1"/>
  <c r="W20" i="4"/>
  <c r="X20" i="4" s="1"/>
  <c r="W19" i="4"/>
  <c r="X19" i="4" s="1"/>
  <c r="X18" i="4"/>
  <c r="W18" i="4"/>
  <c r="W17" i="4"/>
  <c r="X17" i="4" s="1"/>
  <c r="W16" i="4"/>
  <c r="X16" i="4" s="1"/>
  <c r="W15" i="4"/>
  <c r="X15" i="4" s="1"/>
  <c r="X14" i="4"/>
  <c r="W14" i="4"/>
  <c r="W13" i="4"/>
  <c r="X13" i="4" s="1"/>
  <c r="W12" i="4"/>
  <c r="X12" i="4" s="1"/>
  <c r="W11" i="4"/>
  <c r="X11" i="4" s="1"/>
  <c r="X10" i="4"/>
  <c r="W10" i="4"/>
  <c r="W9" i="4"/>
  <c r="X9" i="4" s="1"/>
  <c r="W8" i="4"/>
  <c r="X8" i="4" s="1"/>
  <c r="W7" i="4"/>
  <c r="X7" i="4" s="1"/>
  <c r="X6" i="4"/>
  <c r="W6" i="4"/>
  <c r="W5" i="4"/>
  <c r="X5" i="4" s="1"/>
  <c r="W4" i="4"/>
  <c r="X4" i="4" s="1"/>
  <c r="W3" i="4"/>
  <c r="X3" i="4" s="1"/>
  <c r="X2" i="4"/>
  <c r="W2" i="4"/>
  <c r="W32" i="2"/>
  <c r="X32" i="2" s="1"/>
  <c r="W31" i="2"/>
  <c r="X31" i="2" s="1"/>
  <c r="X30" i="2"/>
  <c r="W30" i="2"/>
  <c r="W29" i="2"/>
  <c r="X29" i="2" s="1"/>
  <c r="W28" i="2"/>
  <c r="X28" i="2" s="1"/>
  <c r="W27" i="2"/>
  <c r="X27" i="2" s="1"/>
  <c r="X26" i="2"/>
  <c r="W26" i="2"/>
  <c r="W25" i="2"/>
  <c r="X25" i="2" s="1"/>
  <c r="W24" i="2"/>
  <c r="X24" i="2" s="1"/>
  <c r="W23" i="2"/>
  <c r="X23" i="2" s="1"/>
  <c r="X22" i="2"/>
  <c r="W22" i="2"/>
  <c r="W21" i="2"/>
  <c r="X21" i="2" s="1"/>
  <c r="W20" i="2"/>
  <c r="X20" i="2" s="1"/>
  <c r="W19" i="2"/>
  <c r="X19" i="2" s="1"/>
  <c r="X18" i="2"/>
  <c r="W18" i="2"/>
  <c r="W17" i="2"/>
  <c r="X17" i="2" s="1"/>
  <c r="W16" i="2"/>
  <c r="X16" i="2" s="1"/>
  <c r="W15" i="2"/>
  <c r="X15" i="2" s="1"/>
  <c r="X14" i="2"/>
  <c r="W14" i="2"/>
  <c r="W13" i="2"/>
  <c r="X13" i="2" s="1"/>
  <c r="W12" i="2"/>
  <c r="X12" i="2" s="1"/>
  <c r="W11" i="2"/>
  <c r="X11" i="2" s="1"/>
  <c r="X10" i="2"/>
  <c r="W10" i="2"/>
  <c r="W9" i="2"/>
  <c r="X9" i="2" s="1"/>
  <c r="W8" i="2"/>
  <c r="X8" i="2" s="1"/>
  <c r="W7" i="2"/>
  <c r="X7" i="2" s="1"/>
  <c r="X6" i="2"/>
  <c r="W6" i="2"/>
  <c r="W5" i="2"/>
  <c r="X5" i="2" s="1"/>
  <c r="W4" i="2"/>
  <c r="X4" i="2" s="1"/>
  <c r="W3" i="2"/>
  <c r="X3" i="2" s="1"/>
  <c r="X2" i="2"/>
  <c r="W2" i="2"/>
  <c r="W33" i="1"/>
  <c r="X33" i="1" s="1"/>
  <c r="X32" i="1"/>
  <c r="W32" i="1"/>
  <c r="W31" i="1"/>
  <c r="X31" i="1" s="1"/>
  <c r="X30" i="1"/>
  <c r="W30" i="1"/>
  <c r="W29" i="1"/>
  <c r="X29" i="1" s="1"/>
  <c r="W28" i="1"/>
  <c r="X28" i="1" s="1"/>
  <c r="W27" i="1"/>
  <c r="X27" i="1" s="1"/>
  <c r="X26" i="1"/>
  <c r="W26" i="1"/>
  <c r="W25" i="1"/>
  <c r="X25" i="1" s="1"/>
  <c r="W24" i="1"/>
  <c r="X24" i="1" s="1"/>
  <c r="W23" i="1"/>
  <c r="X23" i="1" s="1"/>
  <c r="X22" i="1"/>
  <c r="W22" i="1"/>
  <c r="W21" i="1"/>
  <c r="X21" i="1" s="1"/>
  <c r="W20" i="1"/>
  <c r="X20" i="1" s="1"/>
  <c r="W19" i="1"/>
  <c r="X19" i="1" s="1"/>
  <c r="X18" i="1"/>
  <c r="W18" i="1"/>
  <c r="W17" i="1"/>
  <c r="X17" i="1" s="1"/>
  <c r="W16" i="1"/>
  <c r="X16" i="1" s="1"/>
  <c r="W15" i="1"/>
  <c r="X15" i="1" s="1"/>
  <c r="X14" i="1"/>
  <c r="W14" i="1"/>
  <c r="W13" i="1"/>
  <c r="X13" i="1" s="1"/>
  <c r="W12" i="1"/>
  <c r="X12" i="1" s="1"/>
  <c r="W11" i="1"/>
  <c r="X11" i="1" s="1"/>
  <c r="X10" i="1"/>
  <c r="W10" i="1"/>
  <c r="W9" i="1"/>
  <c r="X9" i="1" s="1"/>
  <c r="W8" i="1"/>
  <c r="X8" i="1" s="1"/>
  <c r="W7" i="1"/>
  <c r="X7" i="1" s="1"/>
  <c r="X6" i="1"/>
  <c r="W6" i="1"/>
  <c r="W5" i="1"/>
  <c r="X5" i="1" s="1"/>
  <c r="W4" i="1"/>
  <c r="X4" i="1" s="1"/>
  <c r="W3" i="1"/>
  <c r="X3" i="1" s="1"/>
  <c r="X2" i="1"/>
  <c r="W2" i="1"/>
</calcChain>
</file>

<file path=xl/sharedStrings.xml><?xml version="1.0" encoding="utf-8"?>
<sst xmlns="http://schemas.openxmlformats.org/spreadsheetml/2006/main" count="784" uniqueCount="80">
  <si>
    <t>Instrument</t>
  </si>
  <si>
    <t>Date</t>
  </si>
  <si>
    <t>Close_Price [EXTRACTED]</t>
  </si>
  <si>
    <t>Risk_Weight_Config [EXTRACTED]</t>
  </si>
  <si>
    <t>Daily_Volatility_Pct [CALCULATED/EXTRACTED]</t>
  </si>
  <si>
    <t>Daily_Volatility_Decimal [CALCULATED/EXTRACTED]</t>
  </si>
  <si>
    <t>Annual_Volatility_Pct [CALCULATED]</t>
  </si>
  <si>
    <t>Annual_Volatility_Decimal [CALCULATED]</t>
  </si>
  <si>
    <t>Target_Volatility [CONFIG]</t>
  </si>
  <si>
    <t>Daily_Cash_Vol_Target [CALCULATED]</t>
  </si>
  <si>
    <t>Portfolio_Value [EXTRACTED]</t>
  </si>
  <si>
    <t>Combined_Forecast [EXTRACTED]</t>
  </si>
  <si>
    <t>IDM [EXTRACTED]</t>
  </si>
  <si>
    <t>Instrument_Value_Volatility [CALCULATED]</t>
  </si>
  <si>
    <t>Subsystem_Position [EXTRACTED]</t>
  </si>
  <si>
    <t>Notional_Position [EXTRACTED]</t>
  </si>
  <si>
    <t>Position_Value [CALCULATED]</t>
  </si>
  <si>
    <t>Leverage_Contribution [CALCULATED]</t>
  </si>
  <si>
    <t>Risk_Exposure [CALCULATED]</t>
  </si>
  <si>
    <t>Native_Volatility_Scalar_PySystemTrade [EXTRACTED]</t>
  </si>
  <si>
    <t>Native_Volatility_Scalar_Source [INFO]</t>
  </si>
  <si>
    <t>PST_Daily_Returns_Volatility [EXTRACTED]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</si>
  <si>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</si>
  <si>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</si>
  <si>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</si>
  <si>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</si>
  <si>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</si>
  <si>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</si>
  <si>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</si>
  <si>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</si>
  <si>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</si>
  <si>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</si>
  <si>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</si>
  <si>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</si>
  <si>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</si>
  <si>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</si>
  <si>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</si>
  <si>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</si>
  <si>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</si>
  <si>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</si>
  <si>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</si>
  <si>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</si>
  <si>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</si>
  <si>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</si>
  <si>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</si>
  <si>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</si>
  <si>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</si>
  <si>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</si>
  <si>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</si>
  <si>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</si>
  <si>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</si>
  <si>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</si>
  <si>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</si>
  <si>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</si>
  <si>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REVERSE_ENGINEERED</t>
  </si>
  <si>
    <t>REVERSE_ENGINEERED_FROM_POSITIONS</t>
  </si>
  <si>
    <t>Metric</t>
  </si>
  <si>
    <t>Value</t>
  </si>
  <si>
    <t>Actual Trading Capital</t>
  </si>
  <si>
    <t>Total Position Value</t>
  </si>
  <si>
    <t>Actual Leverage Ratio</t>
  </si>
  <si>
    <t>Capital Multiplier</t>
  </si>
  <si>
    <t>Risk-Adjusted Leverage</t>
  </si>
  <si>
    <t>Leverage Status</t>
  </si>
  <si>
    <t>$1,588,304.61</t>
  </si>
  <si>
    <t>$0.00</t>
  </si>
  <si>
    <t>0.00x</t>
  </si>
  <si>
    <t>0.000x</t>
  </si>
  <si>
    <t>CONSERVATIVE</t>
  </si>
  <si>
    <t>Control_Check</t>
  </si>
  <si>
    <t>Status</t>
  </si>
  <si>
    <t>Overall Leverage</t>
  </si>
  <si>
    <t>Risk Leverage</t>
  </si>
  <si>
    <t>Position Concentration</t>
  </si>
  <si>
    <t>✅ PASS - Within safe limits</t>
  </si>
  <si>
    <t>✅ PASS - Conservative multiplier</t>
  </si>
  <si>
    <t>✅ PASS - Risk-appropriate leverage</t>
  </si>
  <si>
    <t>✅ PASS - Well diversified</t>
  </si>
  <si>
    <t>Self calculated Volatility Scalar</t>
  </si>
  <si>
    <t>Missing Factor = Reverse Engineered Volatility Scalar / Self calculated Volatility Scalar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</si>
</sst>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2" fontId="0" fillId="0" borderId="0" xfId="0" applyNumberFormat="1"/>
    <xf numFmtId="165" fontId="0" fillId="0" borderId="0" xfId="0" applyNumberFormat="1"/>
    <xf numFmtId="4" fontId="0" fillId="2" borderId="0" xfId="0" applyNumberFormat="1" applyFill="1"/>
    <xf numFmtId="165" fontId="0" fillId="2" borderId="0" xfId="0" applyNumberFormat="1" applyFill="1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opLeftCell="L1" workbookViewId="0">
      <selection activeCell="Q18" sqref="Q18"/>
    </sheetView>
  </sheetViews>
  <sheetFormatPr defaultRowHeight="15" x14ac:dyDescent="0.25"/>
  <cols>
    <col min="1" max="1" width="12.7109375" customWidth="1"/>
    <col min="2" max="2" width="12.7109375" style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1" width="15.7109375" style="2" customWidth="1"/>
    <col min="12" max="12" width="15.7109375" style="6" customWidth="1"/>
    <col min="13" max="13" width="12.7109375" style="7" customWidth="1"/>
    <col min="14" max="14" width="15.7109375" style="6" customWidth="1"/>
    <col min="15" max="17" width="15.7109375" style="2" customWidth="1"/>
    <col min="18" max="18" width="15.7109375" style="3" customWidth="1"/>
    <col min="19" max="19" width="15.7109375" style="2" customWidth="1"/>
    <col min="20" max="20" width="20.7109375" style="7" customWidth="1"/>
    <col min="21" max="21" width="20.7109375" customWidth="1"/>
    <col min="22" max="22" width="15.7109375" style="5" customWidth="1"/>
    <col min="23" max="24" width="15.85546875" customWidth="1"/>
  </cols>
  <sheetData>
    <row r="1" spans="1:26" s="11" customFormat="1" ht="9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78</v>
      </c>
      <c r="X1" s="10" t="s">
        <v>79</v>
      </c>
    </row>
    <row r="2" spans="1:26" x14ac:dyDescent="0.25">
      <c r="A2" t="s">
        <v>22</v>
      </c>
      <c r="B2" s="9">
        <v>45923</v>
      </c>
      <c r="C2" s="2">
        <v>55.909999847412109</v>
      </c>
      <c r="D2" s="3">
        <v>6.7473010795681729E-2</v>
      </c>
      <c r="E2" s="4">
        <v>0.70737946696172715</v>
      </c>
      <c r="F2" s="5">
        <v>7.0737946696172718E-3</v>
      </c>
      <c r="G2" s="4">
        <v>11.22930091280497</v>
      </c>
      <c r="H2" s="5">
        <v>0.1122930091280497</v>
      </c>
      <c r="I2" s="3">
        <v>0.12</v>
      </c>
      <c r="J2" s="2">
        <v>11912.28457012195</v>
      </c>
      <c r="K2" s="2">
        <v>1588304.6093495931</v>
      </c>
      <c r="L2" s="6">
        <v>2.8254554886104022</v>
      </c>
      <c r="M2" s="7">
        <v>1.482438140477889</v>
      </c>
      <c r="N2" s="6">
        <v>0.39549585889892619</v>
      </c>
      <c r="O2" s="2">
        <v>5358.062717413588</v>
      </c>
      <c r="P2" s="2">
        <v>535.93789071305116</v>
      </c>
      <c r="Q2" s="2">
        <v>29964.287387989061</v>
      </c>
      <c r="R2" s="3">
        <v>1.8865579821152421E-2</v>
      </c>
      <c r="S2" s="2">
        <v>211.961216404037</v>
      </c>
      <c r="T2" s="7">
        <v>18963.53610599173</v>
      </c>
      <c r="U2" t="s">
        <v>54</v>
      </c>
      <c r="V2" s="5">
        <v>0.39549585889892619</v>
      </c>
      <c r="W2">
        <f>(1000000*I2/16)/(C2*F2)</f>
        <v>18963.536105991734</v>
      </c>
      <c r="X2">
        <f>T2/W2</f>
        <v>0.99999999999999978</v>
      </c>
      <c r="Y2">
        <f t="shared" ref="Y2:Y18" si="0">V2-C2*F2</f>
        <v>0</v>
      </c>
      <c r="Z2">
        <f>(1000000*I2/16)/(V2)/T2</f>
        <v>1.0000000000000004</v>
      </c>
    </row>
    <row r="3" spans="1:26" x14ac:dyDescent="0.25">
      <c r="A3" t="s">
        <v>23</v>
      </c>
      <c r="B3" s="9">
        <v>45923</v>
      </c>
      <c r="C3" s="2">
        <v>23.110000610351559</v>
      </c>
      <c r="D3" s="3">
        <v>8.5065973610555776E-2</v>
      </c>
      <c r="E3" s="4">
        <v>0.46303096131292287</v>
      </c>
      <c r="F3" s="5">
        <v>4.6303096131292288E-3</v>
      </c>
      <c r="G3" s="4">
        <v>7.3503886377429808</v>
      </c>
      <c r="H3" s="5">
        <v>7.3503886377429814E-2</v>
      </c>
      <c r="I3" s="3">
        <v>0.12</v>
      </c>
      <c r="J3" s="2">
        <v>11912.28457012195</v>
      </c>
      <c r="K3" s="2">
        <v>1588304.6093495931</v>
      </c>
      <c r="L3" s="6">
        <v>1.6817938992242141</v>
      </c>
      <c r="M3" s="7">
        <v>1.482438140477889</v>
      </c>
      <c r="N3" s="6">
        <v>0.1070064579855332</v>
      </c>
      <c r="O3" s="2">
        <v>11787.56355610508</v>
      </c>
      <c r="P3" s="2">
        <v>1486.4712178033601</v>
      </c>
      <c r="Q3" s="2">
        <v>34352.350750705678</v>
      </c>
      <c r="R3" s="3">
        <v>2.1628313957215602E-2</v>
      </c>
      <c r="S3" s="2">
        <v>159.06201991457959</v>
      </c>
      <c r="T3" s="7">
        <v>70089.227708237653</v>
      </c>
      <c r="U3" t="s">
        <v>54</v>
      </c>
      <c r="V3" s="5">
        <v>0.1070064579855332</v>
      </c>
      <c r="W3">
        <f t="shared" ref="W3:W33" si="1">(1000000*I3/16)/(C3*F3)</f>
        <v>70089.227708237653</v>
      </c>
      <c r="X3">
        <f t="shared" ref="X3:X33" si="2">T3/W3</f>
        <v>1</v>
      </c>
      <c r="Y3">
        <f t="shared" si="0"/>
        <v>0</v>
      </c>
      <c r="Z3">
        <f t="shared" ref="Z3:Z33" si="3">(1000000*I3/16)/(V3)/T3</f>
        <v>0.99999999999999978</v>
      </c>
    </row>
    <row r="4" spans="1:26" x14ac:dyDescent="0.25">
      <c r="A4" t="s">
        <v>24</v>
      </c>
      <c r="B4" s="9">
        <v>45923</v>
      </c>
      <c r="C4" s="2">
        <v>49</v>
      </c>
      <c r="D4" s="3">
        <v>5.4978008796481414E-3</v>
      </c>
      <c r="E4" s="4">
        <v>0.24589286870190319</v>
      </c>
      <c r="F4" s="5">
        <v>2.4589286870190311E-3</v>
      </c>
      <c r="G4" s="4">
        <v>3.9034282784969609</v>
      </c>
      <c r="H4" s="5">
        <v>3.9034282784969607E-2</v>
      </c>
      <c r="I4" s="3">
        <v>0.12</v>
      </c>
      <c r="J4" s="2">
        <v>11912.28457012195</v>
      </c>
      <c r="K4" s="2">
        <v>1588304.6093495931</v>
      </c>
      <c r="L4" s="6">
        <v>1.181236244013453</v>
      </c>
      <c r="M4" s="7">
        <v>1.482438140477889</v>
      </c>
      <c r="N4" s="6">
        <v>0.1204875056639325</v>
      </c>
      <c r="O4" s="2">
        <v>7352.855203768142</v>
      </c>
      <c r="P4" s="2">
        <v>59.926870727076491</v>
      </c>
      <c r="Q4" s="2">
        <v>2936.416665626748</v>
      </c>
      <c r="R4" s="3">
        <v>1.8487742517030181E-3</v>
      </c>
      <c r="S4" s="2">
        <v>7.2204391761503821</v>
      </c>
      <c r="T4" s="7">
        <v>62247.118144508953</v>
      </c>
      <c r="U4" t="s">
        <v>54</v>
      </c>
      <c r="V4" s="5">
        <v>0.1204875056639325</v>
      </c>
      <c r="W4">
        <f t="shared" si="1"/>
        <v>62247.118144508961</v>
      </c>
      <c r="X4">
        <f t="shared" si="2"/>
        <v>0.99999999999999989</v>
      </c>
      <c r="Y4">
        <f t="shared" si="0"/>
        <v>0</v>
      </c>
      <c r="Z4">
        <f t="shared" si="3"/>
        <v>1.0000000000000002</v>
      </c>
    </row>
    <row r="5" spans="1:26" x14ac:dyDescent="0.25">
      <c r="A5" t="s">
        <v>25</v>
      </c>
      <c r="B5" s="9">
        <v>45923</v>
      </c>
      <c r="C5" s="2">
        <v>95.559997558593764</v>
      </c>
      <c r="D5" s="3">
        <v>5.0579768092762899E-2</v>
      </c>
      <c r="E5" s="4">
        <v>0.35815703873590488</v>
      </c>
      <c r="F5" s="5">
        <v>3.581570387359049E-3</v>
      </c>
      <c r="G5" s="4">
        <v>5.685566728815191</v>
      </c>
      <c r="H5" s="5">
        <v>5.6855667288151911E-2</v>
      </c>
      <c r="I5" s="3">
        <v>0.12</v>
      </c>
      <c r="J5" s="2">
        <v>11912.28457012195</v>
      </c>
      <c r="K5" s="2">
        <v>1588304.6093495931</v>
      </c>
      <c r="L5" s="6">
        <v>17.212190499130319</v>
      </c>
      <c r="M5" s="7">
        <v>1.482438140477889</v>
      </c>
      <c r="N5" s="6">
        <v>0.34225485747196249</v>
      </c>
      <c r="O5" s="2">
        <v>37717.924501349873</v>
      </c>
      <c r="P5" s="2">
        <v>2828.1419301789861</v>
      </c>
      <c r="Q5" s="2">
        <v>270257.23594326049</v>
      </c>
      <c r="R5" s="3">
        <v>0.17015453733017261</v>
      </c>
      <c r="S5" s="2">
        <v>967.94531322388968</v>
      </c>
      <c r="T5" s="7">
        <v>21913.494684628109</v>
      </c>
      <c r="U5" t="s">
        <v>54</v>
      </c>
      <c r="V5" s="5">
        <v>0.34225485747196249</v>
      </c>
      <c r="W5">
        <f t="shared" si="1"/>
        <v>21913.494684628109</v>
      </c>
      <c r="X5">
        <f t="shared" si="2"/>
        <v>1</v>
      </c>
      <c r="Y5">
        <f t="shared" si="0"/>
        <v>0</v>
      </c>
      <c r="Z5">
        <f t="shared" si="3"/>
        <v>0.99999999999999989</v>
      </c>
    </row>
    <row r="6" spans="1:26" x14ac:dyDescent="0.25">
      <c r="A6" t="s">
        <v>26</v>
      </c>
      <c r="B6" s="9">
        <v>45923</v>
      </c>
      <c r="C6" s="2">
        <v>39.979999542236328</v>
      </c>
      <c r="D6" s="3">
        <v>1.859256297481008E-2</v>
      </c>
      <c r="E6" s="4">
        <v>0.3885056125264113</v>
      </c>
      <c r="F6" s="5">
        <v>3.8850561252641129E-3</v>
      </c>
      <c r="G6" s="4">
        <v>6.1673354021862279</v>
      </c>
      <c r="H6" s="5">
        <v>6.1673354021862282E-2</v>
      </c>
      <c r="I6" s="3">
        <v>0.12</v>
      </c>
      <c r="J6" s="2">
        <v>11912.28457012195</v>
      </c>
      <c r="K6" s="2">
        <v>1588304.6093495931</v>
      </c>
      <c r="L6" s="6">
        <v>12.360351815121341</v>
      </c>
      <c r="M6" s="7">
        <v>1.482438140477889</v>
      </c>
      <c r="N6" s="6">
        <v>0.15532454210962171</v>
      </c>
      <c r="O6" s="2">
        <v>59683.188087549213</v>
      </c>
      <c r="P6" s="2">
        <v>1645.0073962613089</v>
      </c>
      <c r="Q6" s="2">
        <v>65767.39494950253</v>
      </c>
      <c r="R6" s="3">
        <v>4.1407293388410003E-2</v>
      </c>
      <c r="S6" s="2">
        <v>255.51002059122891</v>
      </c>
      <c r="T6" s="7">
        <v>48285.994590003742</v>
      </c>
      <c r="U6" t="s">
        <v>54</v>
      </c>
      <c r="V6" s="5">
        <v>0.15532454210962171</v>
      </c>
      <c r="W6">
        <f t="shared" si="1"/>
        <v>48285.994590003735</v>
      </c>
      <c r="X6">
        <f t="shared" si="2"/>
        <v>1.0000000000000002</v>
      </c>
      <c r="Y6">
        <f t="shared" si="0"/>
        <v>0</v>
      </c>
      <c r="Z6">
        <f t="shared" si="3"/>
        <v>0.99999999999999967</v>
      </c>
    </row>
    <row r="7" spans="1:26" x14ac:dyDescent="0.25">
      <c r="A7" t="s">
        <v>27</v>
      </c>
      <c r="B7" s="9">
        <v>45923</v>
      </c>
      <c r="C7" s="2">
        <v>25.639999389648441</v>
      </c>
      <c r="D7" s="3">
        <v>1.859256297481008E-2</v>
      </c>
      <c r="E7" s="4">
        <v>0.35554900964285302</v>
      </c>
      <c r="F7" s="5">
        <v>3.5554900964285298E-3</v>
      </c>
      <c r="G7" s="4">
        <v>5.6441655504617696</v>
      </c>
      <c r="H7" s="5">
        <v>5.6441655504617702E-2</v>
      </c>
      <c r="I7" s="3">
        <v>0.12</v>
      </c>
      <c r="J7" s="2">
        <v>11912.28457012195</v>
      </c>
      <c r="K7" s="2">
        <v>1588304.6093495931</v>
      </c>
      <c r="L7" s="6">
        <v>14.59172162450448</v>
      </c>
      <c r="M7" s="7">
        <v>1.482438140477889</v>
      </c>
      <c r="N7" s="6">
        <v>9.1162763902328581E-2</v>
      </c>
      <c r="O7" s="2">
        <v>120046.7246704312</v>
      </c>
      <c r="P7" s="2">
        <v>3308.7667785126418</v>
      </c>
      <c r="Q7" s="2">
        <v>84836.778181553193</v>
      </c>
      <c r="R7" s="3">
        <v>5.3413418107685053E-2</v>
      </c>
      <c r="S7" s="2">
        <v>301.63632463741641</v>
      </c>
      <c r="T7" s="7">
        <v>82270.432344893256</v>
      </c>
      <c r="U7" t="s">
        <v>54</v>
      </c>
      <c r="V7" s="5">
        <v>9.1162763902328581E-2</v>
      </c>
      <c r="W7">
        <f t="shared" si="1"/>
        <v>82270.432344893256</v>
      </c>
      <c r="X7">
        <f t="shared" si="2"/>
        <v>1</v>
      </c>
      <c r="Y7">
        <f t="shared" si="0"/>
        <v>0</v>
      </c>
      <c r="Z7">
        <f t="shared" si="3"/>
        <v>1</v>
      </c>
    </row>
    <row r="8" spans="1:26" x14ac:dyDescent="0.25">
      <c r="A8" t="s">
        <v>28</v>
      </c>
      <c r="B8" s="9">
        <v>45923</v>
      </c>
      <c r="C8" s="2">
        <v>32.040000915527337</v>
      </c>
      <c r="D8" s="3">
        <v>1.129548180727709E-2</v>
      </c>
      <c r="E8" s="4">
        <v>1.248527649753101</v>
      </c>
      <c r="F8" s="5">
        <v>1.2485276497531009E-2</v>
      </c>
      <c r="G8" s="4">
        <v>19.819761997407959</v>
      </c>
      <c r="H8" s="5">
        <v>0.19819761997407959</v>
      </c>
      <c r="I8" s="3">
        <v>0.12</v>
      </c>
      <c r="J8" s="2">
        <v>11912.28457012195</v>
      </c>
      <c r="K8" s="2">
        <v>1588304.6093495931</v>
      </c>
      <c r="L8" s="6">
        <v>0.51315808922573802</v>
      </c>
      <c r="M8" s="7">
        <v>1.482438140477889</v>
      </c>
      <c r="N8" s="6">
        <v>0.40002827041150563</v>
      </c>
      <c r="O8" s="2">
        <v>962.10341964929762</v>
      </c>
      <c r="P8" s="2">
        <v>16.110280377321551</v>
      </c>
      <c r="Q8" s="2">
        <v>516.17339803878474</v>
      </c>
      <c r="R8" s="3">
        <v>3.2498388218501519E-4</v>
      </c>
      <c r="S8" s="2">
        <v>6.4445675951843588</v>
      </c>
      <c r="T8" s="7">
        <v>18748.6749181122</v>
      </c>
      <c r="U8" t="s">
        <v>54</v>
      </c>
      <c r="V8" s="5">
        <v>0.40002827041150563</v>
      </c>
      <c r="W8">
        <f t="shared" si="1"/>
        <v>18748.674918112207</v>
      </c>
      <c r="X8">
        <f t="shared" si="2"/>
        <v>0.99999999999999967</v>
      </c>
      <c r="Y8">
        <f t="shared" si="0"/>
        <v>0</v>
      </c>
      <c r="Z8">
        <f t="shared" si="3"/>
        <v>1</v>
      </c>
    </row>
    <row r="9" spans="1:26" x14ac:dyDescent="0.25">
      <c r="A9" t="s">
        <v>29</v>
      </c>
      <c r="B9" s="9">
        <v>45923</v>
      </c>
      <c r="C9" s="2">
        <v>62.869998931884773</v>
      </c>
      <c r="D9" s="3">
        <v>1.129548180727709E-2</v>
      </c>
      <c r="E9" s="4">
        <v>1.068997580733968</v>
      </c>
      <c r="F9" s="5">
        <v>1.068997580733968E-2</v>
      </c>
      <c r="G9" s="4">
        <v>16.96981050451063</v>
      </c>
      <c r="H9" s="5">
        <v>0.1696981050451063</v>
      </c>
      <c r="I9" s="3">
        <v>0.12</v>
      </c>
      <c r="J9" s="2">
        <v>11912.28457012195</v>
      </c>
      <c r="K9" s="2">
        <v>1588304.6093495931</v>
      </c>
      <c r="L9" s="6">
        <v>20</v>
      </c>
      <c r="M9" s="7">
        <v>1.482438140477889</v>
      </c>
      <c r="N9" s="6">
        <v>0.67207876758931961</v>
      </c>
      <c r="O9" s="2">
        <v>22318.812501402961</v>
      </c>
      <c r="P9" s="2">
        <v>373.72523550278771</v>
      </c>
      <c r="Q9" s="2">
        <v>23496.105156878639</v>
      </c>
      <c r="R9" s="3">
        <v>1.4793198369234879E-2</v>
      </c>
      <c r="S9" s="2">
        <v>251.17279569374179</v>
      </c>
      <c r="T9" s="7">
        <v>11159.406250701481</v>
      </c>
      <c r="U9" t="s">
        <v>54</v>
      </c>
      <c r="V9" s="5">
        <v>0.67207876758931961</v>
      </c>
      <c r="W9">
        <f t="shared" si="1"/>
        <v>11159.406250701477</v>
      </c>
      <c r="X9">
        <f t="shared" si="2"/>
        <v>1.0000000000000002</v>
      </c>
      <c r="Y9">
        <f t="shared" si="0"/>
        <v>0</v>
      </c>
      <c r="Z9">
        <f t="shared" si="3"/>
        <v>0.99999999999999989</v>
      </c>
    </row>
    <row r="10" spans="1:26" x14ac:dyDescent="0.25">
      <c r="A10" t="s">
        <v>30</v>
      </c>
      <c r="B10" s="9">
        <v>45923</v>
      </c>
      <c r="C10" s="2">
        <v>45.360000610351563</v>
      </c>
      <c r="D10" s="3">
        <v>2.2491003598560579E-2</v>
      </c>
      <c r="E10" s="4">
        <v>0.58946821157384577</v>
      </c>
      <c r="F10" s="5">
        <v>5.8946821157384579E-3</v>
      </c>
      <c r="G10" s="4">
        <v>9.3575177616144121</v>
      </c>
      <c r="H10" s="5">
        <v>9.3575177616144117E-2</v>
      </c>
      <c r="I10" s="3">
        <v>0.12</v>
      </c>
      <c r="J10" s="2">
        <v>11912.28457012195</v>
      </c>
      <c r="K10" s="2">
        <v>1588304.6093495931</v>
      </c>
      <c r="L10" s="6">
        <v>19.083223288683008</v>
      </c>
      <c r="M10" s="7">
        <v>1.482438140477889</v>
      </c>
      <c r="N10" s="6">
        <v>0.26738278436772489</v>
      </c>
      <c r="O10" s="2">
        <v>53527.819677532963</v>
      </c>
      <c r="P10" s="2">
        <v>1784.698953424305</v>
      </c>
      <c r="Q10" s="2">
        <v>80953.945616620287</v>
      </c>
      <c r="R10" s="3">
        <v>5.0968778369138358E-2</v>
      </c>
      <c r="S10" s="2">
        <v>477.19777542475532</v>
      </c>
      <c r="T10" s="7">
        <v>28049.674244118261</v>
      </c>
      <c r="U10" t="s">
        <v>54</v>
      </c>
      <c r="V10" s="5">
        <v>0.26738278436772489</v>
      </c>
      <c r="W10">
        <f t="shared" si="1"/>
        <v>28049.674244118261</v>
      </c>
      <c r="X10">
        <f t="shared" si="2"/>
        <v>1</v>
      </c>
      <c r="Y10">
        <f t="shared" si="0"/>
        <v>0</v>
      </c>
      <c r="Z10">
        <f t="shared" si="3"/>
        <v>1</v>
      </c>
    </row>
    <row r="11" spans="1:26" x14ac:dyDescent="0.25">
      <c r="A11" t="s">
        <v>31</v>
      </c>
      <c r="B11" s="9">
        <v>45923</v>
      </c>
      <c r="C11" s="2">
        <v>34.990001678466797</v>
      </c>
      <c r="D11" s="3">
        <v>4.498200719712115E-2</v>
      </c>
      <c r="E11" s="4">
        <v>0.85701354032973442</v>
      </c>
      <c r="F11" s="5">
        <v>8.5701354032973447E-3</v>
      </c>
      <c r="G11" s="4">
        <v>13.604668187565011</v>
      </c>
      <c r="H11" s="5">
        <v>0.13604668187565011</v>
      </c>
      <c r="I11" s="3">
        <v>0.12</v>
      </c>
      <c r="J11" s="2">
        <v>11912.28457012195</v>
      </c>
      <c r="K11" s="2">
        <v>1588304.6093495931</v>
      </c>
      <c r="L11" s="6">
        <v>14.772989082768991</v>
      </c>
      <c r="M11" s="7">
        <v>1.482438140477889</v>
      </c>
      <c r="N11" s="6">
        <v>0.2998690521460618</v>
      </c>
      <c r="O11" s="2">
        <v>36948.600506730378</v>
      </c>
      <c r="P11" s="2">
        <v>2463.845120242479</v>
      </c>
      <c r="Q11" s="2">
        <v>86209.94489276658</v>
      </c>
      <c r="R11" s="3">
        <v>5.4277966824052309E-2</v>
      </c>
      <c r="S11" s="2">
        <v>738.83090084181197</v>
      </c>
      <c r="T11" s="7">
        <v>25010.91708639163</v>
      </c>
      <c r="U11" t="s">
        <v>54</v>
      </c>
      <c r="V11" s="5">
        <v>0.2998690521460618</v>
      </c>
      <c r="W11">
        <f t="shared" si="1"/>
        <v>25010.91708639163</v>
      </c>
      <c r="X11">
        <f t="shared" si="2"/>
        <v>1</v>
      </c>
      <c r="Y11">
        <f t="shared" si="0"/>
        <v>0</v>
      </c>
      <c r="Z11">
        <f t="shared" si="3"/>
        <v>1</v>
      </c>
    </row>
    <row r="12" spans="1:26" x14ac:dyDescent="0.25">
      <c r="A12" t="s">
        <v>32</v>
      </c>
      <c r="B12" s="9">
        <v>45923</v>
      </c>
      <c r="C12" s="2">
        <v>50.770000457763672</v>
      </c>
      <c r="D12" s="3">
        <v>7.297081167532987E-3</v>
      </c>
      <c r="E12" s="4">
        <v>0.31932184271093461</v>
      </c>
      <c r="F12" s="5">
        <v>3.193218427109346E-3</v>
      </c>
      <c r="G12" s="4">
        <v>5.0690771040240969</v>
      </c>
      <c r="H12" s="5">
        <v>5.0690771040240973E-2</v>
      </c>
      <c r="I12" s="3">
        <v>0.12</v>
      </c>
      <c r="J12" s="2">
        <v>11912.28457012195</v>
      </c>
      <c r="K12" s="2">
        <v>1588304.6093495931</v>
      </c>
      <c r="L12" s="6">
        <v>9.0568572408307499</v>
      </c>
      <c r="M12" s="7">
        <v>1.482438140477889</v>
      </c>
      <c r="N12" s="6">
        <v>0.16211970100608089</v>
      </c>
      <c r="O12" s="2">
        <v>36245.166523155123</v>
      </c>
      <c r="P12" s="2">
        <v>392.08105357572191</v>
      </c>
      <c r="Q12" s="2">
        <v>19905.955269519862</v>
      </c>
      <c r="R12" s="3">
        <v>1.2532832274327591E-2</v>
      </c>
      <c r="S12" s="2">
        <v>63.564063175845199</v>
      </c>
      <c r="T12" s="7">
        <v>40019.584674198188</v>
      </c>
      <c r="U12" t="s">
        <v>54</v>
      </c>
      <c r="V12" s="5">
        <v>0.15950126287034411</v>
      </c>
      <c r="W12">
        <f t="shared" si="1"/>
        <v>46262.113447388394</v>
      </c>
      <c r="X12">
        <f t="shared" si="2"/>
        <v>0.86506174690247295</v>
      </c>
      <c r="Y12">
        <f>V12-C12*F12</f>
        <v>-2.6184381357367836E-3</v>
      </c>
      <c r="Z12">
        <f>(1000000*I12/16)/(V12)/T12</f>
        <v>1.174963999616824</v>
      </c>
    </row>
    <row r="13" spans="1:26" x14ac:dyDescent="0.25">
      <c r="A13" t="s">
        <v>33</v>
      </c>
      <c r="B13" s="9">
        <v>45923</v>
      </c>
      <c r="C13" s="2">
        <v>37.139999389648438</v>
      </c>
      <c r="D13" s="3">
        <v>5.4978008796481414E-3</v>
      </c>
      <c r="E13" s="4">
        <v>0.22716662056035369</v>
      </c>
      <c r="F13" s="5">
        <v>2.2716662056035371E-3</v>
      </c>
      <c r="G13" s="4">
        <v>3.6061583050660091</v>
      </c>
      <c r="H13" s="5">
        <v>3.6061583050660088E-2</v>
      </c>
      <c r="I13" s="3">
        <v>0.12</v>
      </c>
      <c r="J13" s="2">
        <v>11912.28457012195</v>
      </c>
      <c r="K13" s="2">
        <v>1588304.6093495931</v>
      </c>
      <c r="L13" s="6">
        <v>17.793705257530451</v>
      </c>
      <c r="M13" s="7">
        <v>1.482438140477889</v>
      </c>
      <c r="N13" s="6">
        <v>8.4369681489600334E-2</v>
      </c>
      <c r="O13" s="2">
        <v>158176.23946811771</v>
      </c>
      <c r="P13" s="2">
        <v>1289.1600326691109</v>
      </c>
      <c r="Q13" s="2">
        <v>47879.402826489953</v>
      </c>
      <c r="R13" s="3">
        <v>3.014497505368095E-2</v>
      </c>
      <c r="S13" s="2">
        <v>108.76602134541569</v>
      </c>
      <c r="T13" s="7">
        <v>88894.492281856874</v>
      </c>
      <c r="U13" t="s">
        <v>54</v>
      </c>
      <c r="V13" s="5">
        <v>8.4369681489600334E-2</v>
      </c>
      <c r="W13">
        <f t="shared" si="1"/>
        <v>88894.492281856859</v>
      </c>
      <c r="X13">
        <f t="shared" si="2"/>
        <v>1.0000000000000002</v>
      </c>
      <c r="Y13">
        <f t="shared" si="0"/>
        <v>0</v>
      </c>
      <c r="Z13">
        <f t="shared" si="3"/>
        <v>1</v>
      </c>
    </row>
    <row r="14" spans="1:26" x14ac:dyDescent="0.25">
      <c r="A14" t="s">
        <v>34</v>
      </c>
      <c r="B14" s="9">
        <v>45923</v>
      </c>
      <c r="C14" s="2">
        <v>70.94000244140625</v>
      </c>
      <c r="D14" s="3">
        <v>9.9960015993602575E-2</v>
      </c>
      <c r="E14" s="4">
        <v>0.66887826904661507</v>
      </c>
      <c r="F14" s="5">
        <v>6.6887826904661503E-3</v>
      </c>
      <c r="G14" s="4">
        <v>10.618113343636169</v>
      </c>
      <c r="H14" s="5">
        <v>0.10618113343636169</v>
      </c>
      <c r="I14" s="3">
        <v>0.12</v>
      </c>
      <c r="J14" s="2">
        <v>11912.28457012195</v>
      </c>
      <c r="K14" s="2">
        <v>1588304.6093495931</v>
      </c>
      <c r="L14" s="6">
        <v>20</v>
      </c>
      <c r="M14" s="7">
        <v>1.482438140477889</v>
      </c>
      <c r="N14" s="6">
        <v>0.47450226039170462</v>
      </c>
      <c r="O14" s="2">
        <v>31612.07280154452</v>
      </c>
      <c r="P14" s="2">
        <v>4684.4204738867447</v>
      </c>
      <c r="Q14" s="2">
        <v>332312.79985409911</v>
      </c>
      <c r="R14" s="3">
        <v>0.2092248539089617</v>
      </c>
      <c r="S14" s="2">
        <v>2222.76810348444</v>
      </c>
      <c r="T14" s="7">
        <v>15806.03640077226</v>
      </c>
      <c r="U14" t="s">
        <v>54</v>
      </c>
      <c r="V14" s="5">
        <v>0.47450226039170462</v>
      </c>
      <c r="W14">
        <f t="shared" si="1"/>
        <v>15806.03640077226</v>
      </c>
      <c r="X14">
        <f t="shared" si="2"/>
        <v>1</v>
      </c>
      <c r="Y14">
        <f t="shared" si="0"/>
        <v>0</v>
      </c>
      <c r="Z14">
        <f t="shared" si="3"/>
        <v>0.99999999999999989</v>
      </c>
    </row>
    <row r="15" spans="1:26" x14ac:dyDescent="0.25">
      <c r="A15" t="s">
        <v>35</v>
      </c>
      <c r="B15" s="9">
        <v>45923</v>
      </c>
      <c r="C15" s="2">
        <v>99.550003051757798</v>
      </c>
      <c r="D15" s="3">
        <v>5.4978008796481414E-3</v>
      </c>
      <c r="E15" s="4">
        <v>0.5188278193679795</v>
      </c>
      <c r="F15" s="5">
        <v>5.1882781936797946E-3</v>
      </c>
      <c r="G15" s="4">
        <v>8.2361362998576872</v>
      </c>
      <c r="H15" s="5">
        <v>8.2361362998576867E-2</v>
      </c>
      <c r="I15" s="3">
        <v>0.12</v>
      </c>
      <c r="J15" s="2">
        <v>11912.28457012195</v>
      </c>
      <c r="K15" s="2">
        <v>1588304.6093495931</v>
      </c>
      <c r="L15" s="6">
        <v>19.569547326371119</v>
      </c>
      <c r="M15" s="7">
        <v>1.482438140477889</v>
      </c>
      <c r="N15" s="6">
        <v>0.51649311001419207</v>
      </c>
      <c r="O15" s="2">
        <v>28416.953121359242</v>
      </c>
      <c r="P15" s="2">
        <v>231.60242232002301</v>
      </c>
      <c r="Q15" s="2">
        <v>23056.021848752789</v>
      </c>
      <c r="R15" s="3">
        <v>1.451612097140118E-2</v>
      </c>
      <c r="S15" s="2">
        <v>119.621055390889</v>
      </c>
      <c r="T15" s="7">
        <v>14521.006872277379</v>
      </c>
      <c r="U15" t="s">
        <v>54</v>
      </c>
      <c r="V15" s="5">
        <v>0.51649311001419207</v>
      </c>
      <c r="W15">
        <f t="shared" si="1"/>
        <v>14521.006872277383</v>
      </c>
      <c r="X15">
        <f t="shared" si="2"/>
        <v>0.99999999999999978</v>
      </c>
      <c r="Y15">
        <f t="shared" si="0"/>
        <v>0</v>
      </c>
      <c r="Z15">
        <f t="shared" si="3"/>
        <v>1</v>
      </c>
    </row>
    <row r="16" spans="1:26" x14ac:dyDescent="0.25">
      <c r="A16" t="s">
        <v>36</v>
      </c>
      <c r="B16" s="9">
        <v>45923</v>
      </c>
      <c r="C16" s="2">
        <v>65.970001220703125</v>
      </c>
      <c r="D16" s="3">
        <v>4.498200719712115E-2</v>
      </c>
      <c r="E16" s="4">
        <v>0.65359564999688613</v>
      </c>
      <c r="F16" s="5">
        <v>6.5359564999688613E-3</v>
      </c>
      <c r="G16" s="4">
        <v>10.37550928731225</v>
      </c>
      <c r="H16" s="5">
        <v>0.1037550928731225</v>
      </c>
      <c r="I16" s="3">
        <v>0.12</v>
      </c>
      <c r="J16" s="2">
        <v>11912.28457012195</v>
      </c>
      <c r="K16" s="2">
        <v>1588304.6093495931</v>
      </c>
      <c r="L16" s="6">
        <v>20</v>
      </c>
      <c r="M16" s="7">
        <v>1.482438140477889</v>
      </c>
      <c r="N16" s="6">
        <v>0.43117705828140829</v>
      </c>
      <c r="O16" s="2">
        <v>34788.4928288792</v>
      </c>
      <c r="P16" s="2">
        <v>2319.8025668498958</v>
      </c>
      <c r="Q16" s="2">
        <v>153037.3781668779</v>
      </c>
      <c r="R16" s="3">
        <v>9.6352662622786384E-2</v>
      </c>
      <c r="S16" s="2">
        <v>1000.2456465679981</v>
      </c>
      <c r="T16" s="7">
        <v>17394.2464144396</v>
      </c>
      <c r="U16" t="s">
        <v>54</v>
      </c>
      <c r="V16" s="5">
        <v>0.43117705828140829</v>
      </c>
      <c r="W16">
        <f t="shared" si="1"/>
        <v>17394.2464144396</v>
      </c>
      <c r="X16">
        <f t="shared" si="2"/>
        <v>1</v>
      </c>
      <c r="Y16">
        <f t="shared" si="0"/>
        <v>0</v>
      </c>
      <c r="Z16">
        <f t="shared" si="3"/>
        <v>1</v>
      </c>
    </row>
    <row r="17" spans="1:26" x14ac:dyDescent="0.25">
      <c r="A17" t="s">
        <v>37</v>
      </c>
      <c r="B17" s="9">
        <v>45923</v>
      </c>
      <c r="C17" s="2">
        <v>22.270000457763668</v>
      </c>
      <c r="D17" s="3">
        <v>6.3774490203918427E-2</v>
      </c>
      <c r="E17" s="4">
        <v>0.31239250138215968</v>
      </c>
      <c r="F17" s="5">
        <v>3.1239250138215971E-3</v>
      </c>
      <c r="G17" s="4">
        <v>4.9590772205915759</v>
      </c>
      <c r="H17" s="5">
        <v>4.9590772205915762E-2</v>
      </c>
      <c r="I17" s="3">
        <v>0.12</v>
      </c>
      <c r="J17" s="2">
        <v>11912.28457012195</v>
      </c>
      <c r="K17" s="2">
        <v>1588304.6093495931</v>
      </c>
      <c r="L17" s="6">
        <v>13.541649735759171</v>
      </c>
      <c r="M17" s="7">
        <v>1.482438140477889</v>
      </c>
      <c r="N17" s="6">
        <v>6.9569811487826344E-2</v>
      </c>
      <c r="O17" s="2">
        <v>145986.2702602919</v>
      </c>
      <c r="P17" s="2">
        <v>13801.795520121899</v>
      </c>
      <c r="Q17" s="2">
        <v>307365.99255107541</v>
      </c>
      <c r="R17" s="3">
        <v>0.19351829034667409</v>
      </c>
      <c r="S17" s="2">
        <v>960.1883125284071</v>
      </c>
      <c r="T17" s="7">
        <v>107805.38051784701</v>
      </c>
      <c r="U17" t="s">
        <v>54</v>
      </c>
      <c r="V17" s="5">
        <v>6.9569811487826344E-2</v>
      </c>
      <c r="W17">
        <f t="shared" si="1"/>
        <v>107805.38051784696</v>
      </c>
      <c r="X17">
        <f t="shared" si="2"/>
        <v>1.0000000000000004</v>
      </c>
      <c r="Y17">
        <f t="shared" si="0"/>
        <v>0</v>
      </c>
      <c r="Z17">
        <f t="shared" si="3"/>
        <v>0.99999999999999956</v>
      </c>
    </row>
    <row r="18" spans="1:26" x14ac:dyDescent="0.25">
      <c r="A18" t="s">
        <v>38</v>
      </c>
      <c r="B18" s="9">
        <v>45923</v>
      </c>
      <c r="C18" s="2">
        <v>28.979999542236332</v>
      </c>
      <c r="D18" s="3">
        <v>3.378648540583766E-2</v>
      </c>
      <c r="E18" s="4">
        <v>0.90129515342828292</v>
      </c>
      <c r="F18" s="5">
        <v>9.0129515342828297E-3</v>
      </c>
      <c r="G18" s="4">
        <v>14.307617003034251</v>
      </c>
      <c r="H18" s="5">
        <v>0.14307617003034251</v>
      </c>
      <c r="I18" s="3">
        <v>0.12</v>
      </c>
      <c r="J18" s="2">
        <v>11912.28457012195</v>
      </c>
      <c r="K18" s="2">
        <v>1588304.6093495931</v>
      </c>
      <c r="L18" s="6">
        <v>19.698817596293399</v>
      </c>
      <c r="M18" s="7">
        <v>1.482438140477889</v>
      </c>
      <c r="N18" s="6">
        <v>0.26119533133771461</v>
      </c>
      <c r="O18" s="2">
        <v>56563.465822893057</v>
      </c>
      <c r="P18" s="2">
        <v>2833.0589377957822</v>
      </c>
      <c r="Q18" s="2">
        <v>82102.046720450293</v>
      </c>
      <c r="R18" s="3">
        <v>5.1691625294766903E-2</v>
      </c>
      <c r="S18" s="2">
        <v>739.98176795684299</v>
      </c>
      <c r="T18" s="7">
        <v>28714.142636427201</v>
      </c>
      <c r="U18" t="s">
        <v>54</v>
      </c>
      <c r="V18" s="5">
        <v>0.26119533133771461</v>
      </c>
      <c r="W18">
        <f t="shared" si="1"/>
        <v>28714.14263642719</v>
      </c>
      <c r="X18">
        <f t="shared" si="2"/>
        <v>1.0000000000000004</v>
      </c>
      <c r="Y18">
        <f t="shared" si="0"/>
        <v>0</v>
      </c>
      <c r="Z18">
        <f t="shared" si="3"/>
        <v>0.99999999999999989</v>
      </c>
    </row>
    <row r="19" spans="1:26" x14ac:dyDescent="0.25">
      <c r="A19" t="s">
        <v>39</v>
      </c>
      <c r="B19" s="9">
        <v>45923</v>
      </c>
      <c r="C19" s="2">
        <v>666.5</v>
      </c>
      <c r="D19" s="3">
        <v>8.99640143942423E-2</v>
      </c>
      <c r="E19" s="4">
        <v>0.60531356121365809</v>
      </c>
      <c r="F19" s="5">
        <v>6.0531356121365813E-3</v>
      </c>
      <c r="G19" s="4">
        <v>9.6090548891172745</v>
      </c>
      <c r="H19" s="5">
        <v>9.6090548891172745E-2</v>
      </c>
      <c r="I19" s="3">
        <v>0.12</v>
      </c>
      <c r="J19" s="2">
        <v>11912.28457012195</v>
      </c>
      <c r="K19" s="2">
        <v>1588304.6093495931</v>
      </c>
      <c r="L19" s="6">
        <v>19.460848851097129</v>
      </c>
      <c r="M19" s="7">
        <v>1.482438140477889</v>
      </c>
      <c r="N19" s="6">
        <v>4.0344148854890314</v>
      </c>
      <c r="O19" s="2">
        <v>2616.9663915174342</v>
      </c>
      <c r="P19" s="2">
        <v>349.01456536285201</v>
      </c>
      <c r="Q19" s="2">
        <v>232618.20781434089</v>
      </c>
      <c r="R19" s="3">
        <v>0.14645692422286519</v>
      </c>
      <c r="S19" s="2">
        <v>1408.069557752375</v>
      </c>
      <c r="T19" s="7">
        <v>1344.7339381446859</v>
      </c>
      <c r="U19" t="s">
        <v>54</v>
      </c>
      <c r="V19" s="5">
        <v>3.6116637317776181</v>
      </c>
      <c r="W19">
        <f t="shared" si="1"/>
        <v>1859.0056334999092</v>
      </c>
      <c r="X19">
        <f t="shared" si="2"/>
        <v>0.72336194894309425</v>
      </c>
      <c r="Y19">
        <f>V19-C19*F19</f>
        <v>-0.42275115371141325</v>
      </c>
      <c r="Z19">
        <f t="shared" si="3"/>
        <v>1.5442499278249597</v>
      </c>
    </row>
    <row r="20" spans="1:26" x14ac:dyDescent="0.25">
      <c r="A20" t="s">
        <v>40</v>
      </c>
      <c r="B20" s="9">
        <v>45923</v>
      </c>
      <c r="C20" s="2">
        <v>40.779998779296882</v>
      </c>
      <c r="D20" s="3">
        <v>1.129548180727709E-2</v>
      </c>
      <c r="E20" s="4">
        <v>1.3799429126915299</v>
      </c>
      <c r="F20" s="5">
        <v>1.37994291269153E-2</v>
      </c>
      <c r="G20" s="4">
        <v>21.90591462268744</v>
      </c>
      <c r="H20" s="5">
        <v>0.21905914622687439</v>
      </c>
      <c r="I20" s="3">
        <v>0.12</v>
      </c>
      <c r="J20" s="2">
        <v>11912.28457012195</v>
      </c>
      <c r="K20" s="2">
        <v>1588304.6093495931</v>
      </c>
      <c r="L20" s="6">
        <v>7.3198012636330123</v>
      </c>
      <c r="M20" s="7">
        <v>1.482438140477889</v>
      </c>
      <c r="N20" s="6">
        <v>0.56274070295059986</v>
      </c>
      <c r="O20" s="2">
        <v>9755.5604542909441</v>
      </c>
      <c r="P20" s="2">
        <v>163.35542619090441</v>
      </c>
      <c r="Q20" s="2">
        <v>6661.6340806566013</v>
      </c>
      <c r="R20" s="3">
        <v>4.1941791526906953E-3</v>
      </c>
      <c r="S20" s="2">
        <v>91.926747365464337</v>
      </c>
      <c r="T20" s="7">
        <v>13327.63022236617</v>
      </c>
      <c r="U20" t="s">
        <v>54</v>
      </c>
      <c r="V20" s="5">
        <v>0.56274070295059986</v>
      </c>
      <c r="W20">
        <f t="shared" si="1"/>
        <v>13327.630222366177</v>
      </c>
      <c r="X20">
        <f t="shared" si="2"/>
        <v>0.99999999999999944</v>
      </c>
      <c r="Y20">
        <f t="shared" ref="Y20:Y33" si="4">V20-C20*F20</f>
        <v>0</v>
      </c>
      <c r="Z20">
        <f t="shared" si="3"/>
        <v>1.0000000000000002</v>
      </c>
    </row>
    <row r="21" spans="1:26" x14ac:dyDescent="0.25">
      <c r="A21" t="s">
        <v>41</v>
      </c>
      <c r="B21" s="9">
        <v>45923</v>
      </c>
      <c r="C21" s="2">
        <v>23.95999908447266</v>
      </c>
      <c r="D21" s="3">
        <v>6.3774490203918427E-2</v>
      </c>
      <c r="E21" s="4">
        <v>0.47145346109931252</v>
      </c>
      <c r="F21" s="5">
        <v>4.7145346109931244E-3</v>
      </c>
      <c r="G21" s="4">
        <v>7.4840916768566697</v>
      </c>
      <c r="H21" s="5">
        <v>7.484091676856669E-2</v>
      </c>
      <c r="I21" s="3">
        <v>0.12</v>
      </c>
      <c r="J21" s="2">
        <v>11912.28457012195</v>
      </c>
      <c r="K21" s="2">
        <v>1588304.6093495931</v>
      </c>
      <c r="L21" s="6">
        <v>6.0868915967197772</v>
      </c>
      <c r="M21" s="7">
        <v>1.482438140477889</v>
      </c>
      <c r="N21" s="6">
        <v>0.1129602449631099</v>
      </c>
      <c r="O21" s="2">
        <v>40413.941197017637</v>
      </c>
      <c r="P21" s="2">
        <v>3820.8041863727581</v>
      </c>
      <c r="Q21" s="2">
        <v>91546.46480744057</v>
      </c>
      <c r="R21" s="3">
        <v>5.7637851246259773E-2</v>
      </c>
      <c r="S21" s="2">
        <v>431.59897684874261</v>
      </c>
      <c r="T21" s="7">
        <v>66395.040152837115</v>
      </c>
      <c r="U21" t="s">
        <v>54</v>
      </c>
      <c r="V21" s="5">
        <v>0.1129602449631099</v>
      </c>
      <c r="W21">
        <f t="shared" si="1"/>
        <v>66395.040152837115</v>
      </c>
      <c r="X21">
        <f t="shared" si="2"/>
        <v>1</v>
      </c>
      <c r="Y21">
        <f t="shared" si="4"/>
        <v>0</v>
      </c>
      <c r="Z21">
        <f t="shared" si="3"/>
        <v>1.0000000000000002</v>
      </c>
    </row>
    <row r="22" spans="1:26" x14ac:dyDescent="0.25">
      <c r="A22" t="s">
        <v>42</v>
      </c>
      <c r="B22" s="9">
        <v>45923</v>
      </c>
      <c r="C22" s="2">
        <v>24.409999847412109</v>
      </c>
      <c r="D22" s="3">
        <v>9.0963614554178344E-3</v>
      </c>
      <c r="E22" s="4">
        <v>9.209093250745494E-2</v>
      </c>
      <c r="F22" s="5">
        <v>9.2090932507454945E-4</v>
      </c>
      <c r="G22" s="4">
        <v>1.461898232512558</v>
      </c>
      <c r="H22" s="5">
        <v>1.461898232512558E-2</v>
      </c>
      <c r="I22" s="3">
        <v>0.12</v>
      </c>
      <c r="J22" s="2">
        <v>11912.28457012195</v>
      </c>
      <c r="K22" s="2">
        <v>1588304.6093495931</v>
      </c>
      <c r="L22" s="6">
        <v>11.709325001633999</v>
      </c>
      <c r="M22" s="7">
        <v>1.482438140477889</v>
      </c>
      <c r="N22" s="6">
        <v>2.2479396484550138E-2</v>
      </c>
      <c r="O22" s="2">
        <v>390668.57320930652</v>
      </c>
      <c r="P22" s="2">
        <v>5268.0849042847631</v>
      </c>
      <c r="Q22" s="2">
        <v>128593.9517097451</v>
      </c>
      <c r="R22" s="3">
        <v>8.0963028724322608E-2</v>
      </c>
      <c r="S22" s="2">
        <v>118.4233692776906</v>
      </c>
      <c r="T22" s="7">
        <v>333638.85036480741</v>
      </c>
      <c r="U22" t="s">
        <v>54</v>
      </c>
      <c r="V22" s="5">
        <v>2.2479396484550138E-2</v>
      </c>
      <c r="W22">
        <f t="shared" si="1"/>
        <v>333638.85036480729</v>
      </c>
      <c r="X22">
        <f t="shared" si="2"/>
        <v>1.0000000000000004</v>
      </c>
      <c r="Y22">
        <f t="shared" si="4"/>
        <v>0</v>
      </c>
      <c r="Z22">
        <f t="shared" si="3"/>
        <v>0.99999999999999978</v>
      </c>
    </row>
    <row r="23" spans="1:26" x14ac:dyDescent="0.25">
      <c r="A23" t="s">
        <v>43</v>
      </c>
      <c r="B23" s="9">
        <v>45923</v>
      </c>
      <c r="C23" s="2">
        <v>27</v>
      </c>
      <c r="D23" s="3">
        <v>1.009596161535386E-2</v>
      </c>
      <c r="E23" s="4">
        <v>0.2474094143093733</v>
      </c>
      <c r="F23" s="5">
        <v>2.4740941430937331E-3</v>
      </c>
      <c r="G23" s="4">
        <v>3.9275026936724808</v>
      </c>
      <c r="H23" s="5">
        <v>3.9275026936724813E-2</v>
      </c>
      <c r="I23" s="3">
        <v>0.12</v>
      </c>
      <c r="J23" s="2">
        <v>11912.28457012195</v>
      </c>
      <c r="K23" s="2">
        <v>1588304.6093495931</v>
      </c>
      <c r="L23" s="6">
        <v>5.8703336121307172</v>
      </c>
      <c r="M23" s="7">
        <v>1.482438140477889</v>
      </c>
      <c r="N23" s="6">
        <v>6.680054186353078E-2</v>
      </c>
      <c r="O23" s="2">
        <v>65908.89963276904</v>
      </c>
      <c r="P23" s="2">
        <v>986.43467891914077</v>
      </c>
      <c r="Q23" s="2">
        <v>26633.736330816799</v>
      </c>
      <c r="R23" s="3">
        <v>1.6768657708374501E-2</v>
      </c>
      <c r="S23" s="2">
        <v>65.894371064776607</v>
      </c>
      <c r="T23" s="7">
        <v>112274.5383611112</v>
      </c>
      <c r="U23" t="s">
        <v>54</v>
      </c>
      <c r="V23" s="5">
        <v>6.680054186353078E-2</v>
      </c>
      <c r="W23">
        <f t="shared" si="1"/>
        <v>112274.53836111116</v>
      </c>
      <c r="X23">
        <f t="shared" si="2"/>
        <v>1.0000000000000004</v>
      </c>
      <c r="Y23">
        <f t="shared" si="4"/>
        <v>0</v>
      </c>
      <c r="Z23">
        <f t="shared" si="3"/>
        <v>0.99999999999999978</v>
      </c>
    </row>
    <row r="24" spans="1:26" x14ac:dyDescent="0.25">
      <c r="A24" t="s">
        <v>44</v>
      </c>
      <c r="B24" s="9">
        <v>45923</v>
      </c>
      <c r="C24" s="2">
        <v>25.170000076293949</v>
      </c>
      <c r="D24" s="3">
        <v>9.0963614554178344E-3</v>
      </c>
      <c r="E24" s="4">
        <v>0.22402052501791631</v>
      </c>
      <c r="F24" s="5">
        <v>2.2402052501791629E-3</v>
      </c>
      <c r="G24" s="4">
        <v>3.5562155866291811</v>
      </c>
      <c r="H24" s="5">
        <v>3.5562155866291807E-2</v>
      </c>
      <c r="I24" s="3">
        <v>0.12</v>
      </c>
      <c r="J24" s="2">
        <v>11912.28457012195</v>
      </c>
      <c r="K24" s="2">
        <v>1588304.6093495931</v>
      </c>
      <c r="L24" s="6">
        <v>3.7040278771541129</v>
      </c>
      <c r="M24" s="7">
        <v>1.482438140477889</v>
      </c>
      <c r="N24" s="6">
        <v>5.6385966317923628E-2</v>
      </c>
      <c r="O24" s="2">
        <v>49267.948911297157</v>
      </c>
      <c r="P24" s="2">
        <v>664.36810054240254</v>
      </c>
      <c r="Q24" s="2">
        <v>16722.145141339541</v>
      </c>
      <c r="R24" s="3">
        <v>1.0528298566222271E-2</v>
      </c>
      <c r="S24" s="2">
        <v>37.461037339886808</v>
      </c>
      <c r="T24" s="7">
        <v>133011.81995733469</v>
      </c>
      <c r="U24" t="s">
        <v>54</v>
      </c>
      <c r="V24" s="5">
        <v>5.6385966317923641E-2</v>
      </c>
      <c r="W24">
        <f t="shared" si="1"/>
        <v>133011.81995733475</v>
      </c>
      <c r="X24">
        <f t="shared" si="2"/>
        <v>0.99999999999999956</v>
      </c>
      <c r="Y24">
        <f t="shared" si="4"/>
        <v>0</v>
      </c>
      <c r="Z24">
        <f t="shared" si="3"/>
        <v>1.0000000000000002</v>
      </c>
    </row>
    <row r="25" spans="1:26" x14ac:dyDescent="0.25">
      <c r="A25" t="s">
        <v>45</v>
      </c>
      <c r="B25" s="9">
        <v>45923</v>
      </c>
      <c r="C25" s="2">
        <v>23.95999908447266</v>
      </c>
      <c r="D25" s="3">
        <v>5.4978008796481414E-3</v>
      </c>
      <c r="E25" s="4">
        <v>0.2111123684051977</v>
      </c>
      <c r="F25" s="5">
        <v>2.1111236840519769E-3</v>
      </c>
      <c r="G25" s="4">
        <v>3.3513049529400161</v>
      </c>
      <c r="H25" s="5">
        <v>3.3513049529400159E-2</v>
      </c>
      <c r="I25" s="3">
        <v>0.12</v>
      </c>
      <c r="J25" s="2">
        <v>11912.28457012195</v>
      </c>
      <c r="K25" s="2">
        <v>1588304.6093495931</v>
      </c>
      <c r="L25" s="6">
        <v>17.745931833344141</v>
      </c>
      <c r="M25" s="7">
        <v>1.482438140477889</v>
      </c>
      <c r="N25" s="6">
        <v>5.0582521537093909E-2</v>
      </c>
      <c r="O25" s="2">
        <v>263123.47567030299</v>
      </c>
      <c r="P25" s="2">
        <v>2144.4957196590158</v>
      </c>
      <c r="Q25" s="2">
        <v>51382.115479685563</v>
      </c>
      <c r="R25" s="3">
        <v>3.2350290477798471E-2</v>
      </c>
      <c r="S25" s="2">
        <v>108.47400092585789</v>
      </c>
      <c r="T25" s="7">
        <v>148272.56079948469</v>
      </c>
      <c r="U25" t="s">
        <v>54</v>
      </c>
      <c r="V25" s="5">
        <v>5.0582521537093902E-2</v>
      </c>
      <c r="W25">
        <f t="shared" si="1"/>
        <v>148272.56079948467</v>
      </c>
      <c r="X25">
        <f t="shared" si="2"/>
        <v>1.0000000000000002</v>
      </c>
      <c r="Y25">
        <f t="shared" si="4"/>
        <v>0</v>
      </c>
      <c r="Z25">
        <f t="shared" si="3"/>
        <v>1</v>
      </c>
    </row>
    <row r="26" spans="1:26" x14ac:dyDescent="0.25">
      <c r="A26" t="s">
        <v>46</v>
      </c>
      <c r="B26" s="9">
        <v>45923</v>
      </c>
      <c r="C26" s="2">
        <v>30.280000686645511</v>
      </c>
      <c r="D26" s="3">
        <v>9.0963614554178344E-3</v>
      </c>
      <c r="E26" s="4">
        <v>9.4340564369469637E-2</v>
      </c>
      <c r="F26" s="5">
        <v>9.4340564369469642E-4</v>
      </c>
      <c r="G26" s="4">
        <v>1.497610031202586</v>
      </c>
      <c r="H26" s="5">
        <v>1.4976100312025859E-2</v>
      </c>
      <c r="I26" s="3">
        <v>0.12</v>
      </c>
      <c r="J26" s="2">
        <v>11912.28457012195</v>
      </c>
      <c r="K26" s="2">
        <v>1588304.6093495931</v>
      </c>
      <c r="L26" s="6">
        <v>13.862847096953439</v>
      </c>
      <c r="M26" s="7">
        <v>1.482438140477889</v>
      </c>
      <c r="N26" s="6">
        <v>2.8566323538860659E-2</v>
      </c>
      <c r="O26" s="2">
        <v>363964.76811484591</v>
      </c>
      <c r="P26" s="2">
        <v>4907.9896159705931</v>
      </c>
      <c r="Q26" s="2">
        <v>148613.92894163859</v>
      </c>
      <c r="R26" s="3">
        <v>9.3567649471530304E-2</v>
      </c>
      <c r="S26" s="2">
        <v>140.2032192951844</v>
      </c>
      <c r="T26" s="7">
        <v>262546.91086857067</v>
      </c>
      <c r="U26" t="s">
        <v>54</v>
      </c>
      <c r="V26" s="5">
        <v>2.8566323538860652E-2</v>
      </c>
      <c r="W26">
        <f t="shared" si="1"/>
        <v>262546.91086857062</v>
      </c>
      <c r="X26">
        <f t="shared" si="2"/>
        <v>1.0000000000000002</v>
      </c>
      <c r="Y26">
        <f t="shared" si="4"/>
        <v>0</v>
      </c>
      <c r="Z26">
        <f t="shared" si="3"/>
        <v>1</v>
      </c>
    </row>
    <row r="27" spans="1:26" x14ac:dyDescent="0.25">
      <c r="A27" t="s">
        <v>47</v>
      </c>
      <c r="B27" s="9">
        <v>45923</v>
      </c>
      <c r="C27" s="2">
        <v>26.940000534057621</v>
      </c>
      <c r="D27" s="3">
        <v>9.0963614554178344E-3</v>
      </c>
      <c r="E27" s="4">
        <v>0.70655042457424599</v>
      </c>
      <c r="F27" s="5">
        <v>7.0655042457424596E-3</v>
      </c>
      <c r="G27" s="4">
        <v>11.216140272903329</v>
      </c>
      <c r="H27" s="5">
        <v>0.1121614027290333</v>
      </c>
      <c r="I27" s="3">
        <v>0.12</v>
      </c>
      <c r="J27" s="2">
        <v>11912.28457012195</v>
      </c>
      <c r="K27" s="2">
        <v>1588304.6093495931</v>
      </c>
      <c r="L27" s="6">
        <v>1.492525156145075</v>
      </c>
      <c r="M27" s="7">
        <v>1.482438140477889</v>
      </c>
      <c r="N27" s="6">
        <v>0.19034468815368821</v>
      </c>
      <c r="O27" s="2">
        <v>5880.8778850975032</v>
      </c>
      <c r="P27" s="2">
        <v>79.302421886456045</v>
      </c>
      <c r="Q27" s="2">
        <v>2136.407287973188</v>
      </c>
      <c r="R27" s="3">
        <v>1.3450866259514551E-3</v>
      </c>
      <c r="S27" s="2">
        <v>15.0947947638097</v>
      </c>
      <c r="T27" s="7">
        <v>39402.202776178048</v>
      </c>
      <c r="U27" t="s">
        <v>54</v>
      </c>
      <c r="V27" s="5">
        <v>0.19034468815368821</v>
      </c>
      <c r="W27">
        <f t="shared" si="1"/>
        <v>39402.202776178048</v>
      </c>
      <c r="X27">
        <f t="shared" si="2"/>
        <v>1</v>
      </c>
      <c r="Y27">
        <f t="shared" si="4"/>
        <v>0</v>
      </c>
      <c r="Z27">
        <f t="shared" si="3"/>
        <v>1.0000000000000002</v>
      </c>
    </row>
    <row r="28" spans="1:26" x14ac:dyDescent="0.25">
      <c r="A28" t="s">
        <v>48</v>
      </c>
      <c r="B28" s="9">
        <v>45923</v>
      </c>
      <c r="C28" s="2">
        <v>84.290000915527344</v>
      </c>
      <c r="D28" s="3">
        <v>9.0963614554178344E-3</v>
      </c>
      <c r="E28" s="4">
        <v>0.26168871027431012</v>
      </c>
      <c r="F28" s="5">
        <v>2.616887102743101E-3</v>
      </c>
      <c r="G28" s="4">
        <v>4.1541794897943474</v>
      </c>
      <c r="H28" s="5">
        <v>4.1541794897943483E-2</v>
      </c>
      <c r="I28" s="3">
        <v>0.12</v>
      </c>
      <c r="J28" s="2">
        <v>11912.28457012195</v>
      </c>
      <c r="K28" s="2">
        <v>1588304.6093495931</v>
      </c>
      <c r="L28" s="6">
        <v>11.46155484109234</v>
      </c>
      <c r="M28" s="7">
        <v>1.482438140477889</v>
      </c>
      <c r="N28" s="6">
        <v>0.22057741628604771</v>
      </c>
      <c r="O28" s="2">
        <v>38971.197847705487</v>
      </c>
      <c r="P28" s="2">
        <v>525.51854221813153</v>
      </c>
      <c r="Q28" s="2">
        <v>44295.958404692901</v>
      </c>
      <c r="R28" s="3">
        <v>2.7888830734321159E-2</v>
      </c>
      <c r="S28" s="2">
        <v>115.9175222528857</v>
      </c>
      <c r="T28" s="7">
        <v>34001.667651569107</v>
      </c>
      <c r="U28" t="s">
        <v>54</v>
      </c>
      <c r="V28" s="5">
        <v>0.22057741628604771</v>
      </c>
      <c r="W28">
        <f t="shared" si="1"/>
        <v>34001.667651569107</v>
      </c>
      <c r="X28">
        <f t="shared" si="2"/>
        <v>1</v>
      </c>
      <c r="Y28">
        <f t="shared" si="4"/>
        <v>0</v>
      </c>
      <c r="Z28">
        <f t="shared" si="3"/>
        <v>0.99999999999999978</v>
      </c>
    </row>
    <row r="29" spans="1:26" x14ac:dyDescent="0.25">
      <c r="A29" t="s">
        <v>49</v>
      </c>
      <c r="B29" s="9">
        <v>45923</v>
      </c>
      <c r="C29" s="2">
        <v>77.75</v>
      </c>
      <c r="D29" s="3">
        <v>9.0963614554178344E-3</v>
      </c>
      <c r="E29" s="4">
        <v>0.55992459451298071</v>
      </c>
      <c r="F29" s="5">
        <v>5.599245945129807E-3</v>
      </c>
      <c r="G29" s="4">
        <v>8.8885273801801681</v>
      </c>
      <c r="H29" s="5">
        <v>8.8885273801801681E-2</v>
      </c>
      <c r="I29" s="3">
        <v>0.12</v>
      </c>
      <c r="J29" s="2">
        <v>11912.28457012195</v>
      </c>
      <c r="K29" s="2">
        <v>1588304.6093495931</v>
      </c>
      <c r="L29" s="6">
        <v>6.9590810369825746</v>
      </c>
      <c r="M29" s="7">
        <v>1.482438140477889</v>
      </c>
      <c r="N29" s="6">
        <v>0.43534137223384251</v>
      </c>
      <c r="O29" s="2">
        <v>11989.0070428073</v>
      </c>
      <c r="P29" s="2">
        <v>161.6692801796944</v>
      </c>
      <c r="Q29" s="2">
        <v>12569.786533971241</v>
      </c>
      <c r="R29" s="3">
        <v>7.9139646513514423E-3</v>
      </c>
      <c r="S29" s="2">
        <v>70.381326281485727</v>
      </c>
      <c r="T29" s="7">
        <v>17227.85951060813</v>
      </c>
      <c r="U29" t="s">
        <v>54</v>
      </c>
      <c r="V29" s="5">
        <v>0.43534137223384251</v>
      </c>
      <c r="W29">
        <f t="shared" si="1"/>
        <v>17227.859510608134</v>
      </c>
      <c r="X29">
        <f t="shared" si="2"/>
        <v>0.99999999999999978</v>
      </c>
      <c r="Y29">
        <f t="shared" si="4"/>
        <v>0</v>
      </c>
      <c r="Z29">
        <f t="shared" si="3"/>
        <v>1.0000000000000002</v>
      </c>
    </row>
    <row r="30" spans="1:26" x14ac:dyDescent="0.25">
      <c r="A30" t="s">
        <v>50</v>
      </c>
      <c r="B30" s="9">
        <v>45923</v>
      </c>
      <c r="C30" s="2">
        <v>79.410003662109375</v>
      </c>
      <c r="D30" s="3">
        <v>0.1124550179928029</v>
      </c>
      <c r="E30" s="4">
        <v>0.65958361545077804</v>
      </c>
      <c r="F30" s="5">
        <v>6.5958361545077806E-3</v>
      </c>
      <c r="G30" s="4">
        <v>10.47056529201371</v>
      </c>
      <c r="H30" s="5">
        <v>0.1047056529201371</v>
      </c>
      <c r="I30" s="3">
        <v>0.12</v>
      </c>
      <c r="J30" s="2">
        <v>11912.28457012195</v>
      </c>
      <c r="K30" s="2">
        <v>1588304.6093495931</v>
      </c>
      <c r="L30" s="6">
        <v>13.360563495631119</v>
      </c>
      <c r="M30" s="7">
        <v>1.482438140477889</v>
      </c>
      <c r="N30" s="6">
        <v>0.52377537318413625</v>
      </c>
      <c r="O30" s="2">
        <v>19131.14501891749</v>
      </c>
      <c r="P30" s="2">
        <v>3189.3074198388758</v>
      </c>
      <c r="Q30" s="2">
        <v>253262.91388899781</v>
      </c>
      <c r="R30" s="3">
        <v>0.15945487559386251</v>
      </c>
      <c r="S30" s="2">
        <v>1670.4806840250419</v>
      </c>
      <c r="T30" s="7">
        <v>14319.11537651338</v>
      </c>
      <c r="U30" t="s">
        <v>54</v>
      </c>
      <c r="V30" s="5">
        <v>0.52377537318413625</v>
      </c>
      <c r="W30">
        <f t="shared" si="1"/>
        <v>14319.115376513382</v>
      </c>
      <c r="X30">
        <f t="shared" si="2"/>
        <v>0.99999999999999989</v>
      </c>
      <c r="Y30">
        <f t="shared" si="4"/>
        <v>0</v>
      </c>
      <c r="Z30">
        <f t="shared" si="3"/>
        <v>1.0000000000000002</v>
      </c>
    </row>
    <row r="31" spans="1:26" x14ac:dyDescent="0.25">
      <c r="A31" t="s">
        <v>51</v>
      </c>
      <c r="B31" s="9">
        <v>45923</v>
      </c>
      <c r="C31" s="2">
        <v>47.049999237060547</v>
      </c>
      <c r="D31" s="3">
        <v>7.297081167532987E-3</v>
      </c>
      <c r="E31" s="4">
        <v>0.28449721589088572</v>
      </c>
      <c r="F31" s="5">
        <v>2.8449721589088569E-3</v>
      </c>
      <c r="G31" s="4">
        <v>4.5162532916252198</v>
      </c>
      <c r="H31" s="5">
        <v>4.5162532916252197E-2</v>
      </c>
      <c r="I31" s="3">
        <v>0.12</v>
      </c>
      <c r="J31" s="2">
        <v>11912.28457012195</v>
      </c>
      <c r="K31" s="2">
        <v>1588304.6093495931</v>
      </c>
      <c r="L31" s="6">
        <v>8.6396082171804647</v>
      </c>
      <c r="M31" s="7">
        <v>1.482438140477889</v>
      </c>
      <c r="N31" s="6">
        <v>0.13385593790612019</v>
      </c>
      <c r="O31" s="2">
        <v>48408.059173511501</v>
      </c>
      <c r="P31" s="2">
        <v>523.65279742801442</v>
      </c>
      <c r="Q31" s="2">
        <v>24637.863719472702</v>
      </c>
      <c r="R31" s="3">
        <v>1.5512052017252439E-2</v>
      </c>
      <c r="S31" s="2">
        <v>70.09403633689044</v>
      </c>
      <c r="T31" s="7">
        <v>56030.386976632457</v>
      </c>
      <c r="U31" t="s">
        <v>54</v>
      </c>
      <c r="V31" s="5">
        <v>0.13385593790612019</v>
      </c>
      <c r="W31">
        <f t="shared" si="1"/>
        <v>56030.38697663245</v>
      </c>
      <c r="X31">
        <f t="shared" si="2"/>
        <v>1.0000000000000002</v>
      </c>
      <c r="Y31">
        <f t="shared" si="4"/>
        <v>0</v>
      </c>
      <c r="Z31">
        <f t="shared" si="3"/>
        <v>1.0000000000000002</v>
      </c>
    </row>
    <row r="32" spans="1:26" x14ac:dyDescent="0.25">
      <c r="A32" t="s">
        <v>52</v>
      </c>
      <c r="B32" s="9">
        <v>45923</v>
      </c>
      <c r="C32" s="2">
        <v>67.199996948242188</v>
      </c>
      <c r="D32" s="3">
        <v>2.479008396641344E-2</v>
      </c>
      <c r="E32" s="4">
        <v>0.34259159788331572</v>
      </c>
      <c r="F32" s="5">
        <v>3.4259159788331572E-3</v>
      </c>
      <c r="G32" s="4">
        <v>5.4384730155569736</v>
      </c>
      <c r="H32" s="5">
        <v>5.4384730155569737E-2</v>
      </c>
      <c r="I32" s="3">
        <v>0.12</v>
      </c>
      <c r="J32" s="2">
        <v>11912.28457012195</v>
      </c>
      <c r="K32" s="2">
        <v>1588304.6093495931</v>
      </c>
      <c r="L32" s="6">
        <v>16.393219027241681</v>
      </c>
      <c r="M32" s="7">
        <v>1.482438140477889</v>
      </c>
      <c r="N32" s="6">
        <v>0.23022154332252229</v>
      </c>
      <c r="O32" s="2">
        <v>53404.707886989767</v>
      </c>
      <c r="P32" s="2">
        <v>1962.610516949466</v>
      </c>
      <c r="Q32" s="2">
        <v>131887.4207495921</v>
      </c>
      <c r="R32" s="3">
        <v>8.303660391919386E-2</v>
      </c>
      <c r="S32" s="2">
        <v>451.83522215311928</v>
      </c>
      <c r="T32" s="7">
        <v>32577.31614409816</v>
      </c>
      <c r="U32" t="s">
        <v>54</v>
      </c>
      <c r="V32" s="5">
        <v>0.23022154332252229</v>
      </c>
      <c r="W32">
        <f t="shared" si="1"/>
        <v>32577.31614409816</v>
      </c>
      <c r="X32">
        <f t="shared" si="2"/>
        <v>1</v>
      </c>
      <c r="Y32">
        <f t="shared" si="4"/>
        <v>0</v>
      </c>
      <c r="Z32">
        <f t="shared" si="3"/>
        <v>1.0000000000000002</v>
      </c>
    </row>
    <row r="33" spans="1:26" x14ac:dyDescent="0.25">
      <c r="A33" t="s">
        <v>53</v>
      </c>
      <c r="B33" s="9">
        <v>45923</v>
      </c>
      <c r="C33" s="2">
        <v>39.409999847412109</v>
      </c>
      <c r="D33" s="3">
        <v>2.35905637744902E-2</v>
      </c>
      <c r="E33" s="4">
        <v>0.51781169303594776</v>
      </c>
      <c r="F33" s="5">
        <v>5.1781169303594778E-3</v>
      </c>
      <c r="G33" s="4">
        <v>8.2200057944066049</v>
      </c>
      <c r="H33" s="5">
        <v>8.2200057944066054E-2</v>
      </c>
      <c r="I33" s="3">
        <v>0.12</v>
      </c>
      <c r="J33" s="2">
        <v>11912.28457012195</v>
      </c>
      <c r="K33" s="2">
        <v>1588304.6093495931</v>
      </c>
      <c r="L33" s="6">
        <v>9.9840923657899125</v>
      </c>
      <c r="M33" s="7">
        <v>1.482438140477889</v>
      </c>
      <c r="N33" s="6">
        <v>0.20406958743534909</v>
      </c>
      <c r="O33" s="2">
        <v>36693.705164248036</v>
      </c>
      <c r="P33" s="2">
        <v>1283.2357996873111</v>
      </c>
      <c r="Q33" s="2">
        <v>50572.322669870693</v>
      </c>
      <c r="R33" s="3">
        <v>3.1840443182104682E-2</v>
      </c>
      <c r="S33" s="2">
        <v>261.86940022445981</v>
      </c>
      <c r="T33" s="7">
        <v>36752.169170607369</v>
      </c>
      <c r="U33" t="s">
        <v>54</v>
      </c>
      <c r="V33" s="5">
        <v>0.20406958743534909</v>
      </c>
      <c r="W33">
        <f t="shared" si="1"/>
        <v>36752.169170607362</v>
      </c>
      <c r="X33">
        <f t="shared" si="2"/>
        <v>1.0000000000000002</v>
      </c>
      <c r="Y33">
        <f t="shared" si="4"/>
        <v>0</v>
      </c>
      <c r="Z33">
        <f t="shared" si="3"/>
        <v>0.99999999999999978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1"/>
  <sheetViews>
    <sheetView tabSelected="1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W1" sqref="W1:Y2"/>
    </sheetView>
  </sheetViews>
  <sheetFormatPr defaultRowHeight="15" x14ac:dyDescent="0.25"/>
  <cols>
    <col min="1" max="1" width="12.7109375" customWidth="1"/>
    <col min="2" max="2" width="18.28515625" style="1" bestFit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1" width="15.7109375" style="2" customWidth="1"/>
    <col min="12" max="12" width="15.7109375" style="6" customWidth="1"/>
    <col min="13" max="13" width="12.7109375" style="7" customWidth="1"/>
    <col min="14" max="14" width="15.7109375" style="6" customWidth="1"/>
    <col min="15" max="17" width="15.7109375" style="2" customWidth="1"/>
    <col min="18" max="18" width="15.7109375" style="3" customWidth="1"/>
    <col min="19" max="19" width="15.7109375" style="2" customWidth="1"/>
    <col min="20" max="20" width="20.7109375" style="7" customWidth="1"/>
    <col min="21" max="21" width="20.7109375" customWidth="1"/>
    <col min="22" max="22" width="15.7109375" style="5" customWidth="1"/>
    <col min="23" max="24" width="15.85546875" customWidth="1"/>
  </cols>
  <sheetData>
    <row r="1" spans="1:25" s="11" customFormat="1" ht="9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78</v>
      </c>
      <c r="X1" s="10" t="s">
        <v>79</v>
      </c>
    </row>
    <row r="2" spans="1:25" x14ac:dyDescent="0.25">
      <c r="A2" t="s">
        <v>22</v>
      </c>
      <c r="B2" s="9">
        <v>45784</v>
      </c>
      <c r="C2" s="2">
        <v>50.04022216796875</v>
      </c>
      <c r="D2" s="3">
        <v>6.7473010795681729E-2</v>
      </c>
      <c r="E2" s="4">
        <v>1.510720363644821</v>
      </c>
      <c r="F2" s="5">
        <v>1.510720363644821E-2</v>
      </c>
      <c r="G2" s="4">
        <v>23.981942296591569</v>
      </c>
      <c r="H2" s="5">
        <v>0.23981942296591571</v>
      </c>
      <c r="I2" s="3">
        <v>0.12</v>
      </c>
      <c r="J2" s="2">
        <v>11020.397209917281</v>
      </c>
      <c r="K2" s="2">
        <v>1469386.2946556369</v>
      </c>
      <c r="L2" s="6">
        <v>10.30413472523006</v>
      </c>
      <c r="M2" s="7">
        <v>1.493401281015603</v>
      </c>
      <c r="N2" s="6">
        <v>0.7559678263046139</v>
      </c>
      <c r="O2" s="2">
        <v>10222.790937677481</v>
      </c>
      <c r="P2" s="2">
        <v>1030.0921761762529</v>
      </c>
      <c r="Q2" s="2">
        <v>51546.041349346116</v>
      </c>
      <c r="R2" s="3">
        <v>3.507997967370885E-2</v>
      </c>
      <c r="S2" s="2">
        <v>778.71654331735158</v>
      </c>
      <c r="T2" s="7">
        <v>9921.0571389818761</v>
      </c>
      <c r="U2" t="s">
        <v>55</v>
      </c>
      <c r="V2" s="5">
        <v>0.7559678263046139</v>
      </c>
      <c r="W2">
        <f>(1000000*I2/16)/(C2*F2)</f>
        <v>9921.0571389818761</v>
      </c>
      <c r="X2">
        <f>T2/W2</f>
        <v>1</v>
      </c>
      <c r="Y2">
        <f>(1000000*I2/16)/(V2)/T2</f>
        <v>1</v>
      </c>
    </row>
    <row r="3" spans="1:25" x14ac:dyDescent="0.25">
      <c r="A3" t="s">
        <v>22</v>
      </c>
      <c r="B3" s="9">
        <v>45785</v>
      </c>
      <c r="C3" s="2">
        <v>49.883598327636719</v>
      </c>
      <c r="D3" s="3">
        <v>6.7473010795681729E-2</v>
      </c>
      <c r="E3" s="4">
        <v>1.4825361141480891</v>
      </c>
      <c r="F3" s="5">
        <v>1.482536114148089E-2</v>
      </c>
      <c r="G3" s="4">
        <v>23.534531206247461</v>
      </c>
      <c r="H3" s="5">
        <v>0.23534531206247461</v>
      </c>
      <c r="I3" s="3">
        <v>0.12</v>
      </c>
      <c r="J3" s="2">
        <v>10960.987644774281</v>
      </c>
      <c r="K3" s="2">
        <v>1461465.0193032371</v>
      </c>
      <c r="L3" s="6">
        <v>9.0021281691576434</v>
      </c>
      <c r="M3" s="7">
        <v>1.4931823501374391</v>
      </c>
      <c r="N3" s="6">
        <v>0.7395423602437865</v>
      </c>
      <c r="O3" s="2">
        <v>9129.4244790015837</v>
      </c>
      <c r="P3" s="2">
        <v>919.78503218406797</v>
      </c>
      <c r="Q3" s="2">
        <v>45882.187093242457</v>
      </c>
      <c r="R3" s="3">
        <v>3.1394652959341497E-2</v>
      </c>
      <c r="S3" s="2">
        <v>680.21999361831274</v>
      </c>
      <c r="T3" s="7">
        <v>10141.40690673576</v>
      </c>
      <c r="U3" t="s">
        <v>55</v>
      </c>
      <c r="V3" s="5">
        <v>0.7395423602437865</v>
      </c>
      <c r="W3">
        <f t="shared" ref="W3:W32" si="0">(1000000*I3/16)/(C3*F3)</f>
        <v>10141.406906735758</v>
      </c>
      <c r="X3">
        <f t="shared" ref="X3:X32" si="1">T3/W3</f>
        <v>1.0000000000000002</v>
      </c>
      <c r="Y3">
        <f t="shared" ref="Y3:Y66" si="2">(1000000*I3/16)/(V3)/T3</f>
        <v>0.99999999999999978</v>
      </c>
    </row>
    <row r="4" spans="1:25" x14ac:dyDescent="0.25">
      <c r="A4" t="s">
        <v>22</v>
      </c>
      <c r="B4" s="9">
        <v>45786</v>
      </c>
      <c r="C4" s="2">
        <v>50.343673706054688</v>
      </c>
      <c r="D4" s="3">
        <v>6.7473010795681729E-2</v>
      </c>
      <c r="E4" s="4">
        <v>1.439771824074634</v>
      </c>
      <c r="F4" s="5">
        <v>1.439771824074634E-2</v>
      </c>
      <c r="G4" s="4">
        <v>22.855669147075929</v>
      </c>
      <c r="H4" s="5">
        <v>0.22855669147075919</v>
      </c>
      <c r="I4" s="3">
        <v>0.12</v>
      </c>
      <c r="J4" s="2">
        <v>10993.164043182191</v>
      </c>
      <c r="K4" s="2">
        <v>1465755.2057576249</v>
      </c>
      <c r="L4" s="6">
        <v>11.172964118084749</v>
      </c>
      <c r="M4" s="7">
        <v>1.4929668943525789</v>
      </c>
      <c r="N4" s="6">
        <v>0.72483402922384554</v>
      </c>
      <c r="O4" s="2">
        <v>11560.885320928701</v>
      </c>
      <c r="P4" s="2">
        <v>1164.5854519556019</v>
      </c>
      <c r="Q4" s="2">
        <v>58629.50999607105</v>
      </c>
      <c r="R4" s="3">
        <v>3.9999523635166907E-2</v>
      </c>
      <c r="S4" s="2">
        <v>844.13116551645214</v>
      </c>
      <c r="T4" s="7">
        <v>10347.19632028179</v>
      </c>
      <c r="U4" t="s">
        <v>55</v>
      </c>
      <c r="V4" s="5">
        <v>0.72483402922384566</v>
      </c>
      <c r="W4">
        <f t="shared" si="0"/>
        <v>10347.196320281795</v>
      </c>
      <c r="X4">
        <f t="shared" si="1"/>
        <v>0.99999999999999944</v>
      </c>
      <c r="Y4">
        <f t="shared" si="2"/>
        <v>1.0000000000000002</v>
      </c>
    </row>
    <row r="5" spans="1:25" x14ac:dyDescent="0.25">
      <c r="A5" t="s">
        <v>22</v>
      </c>
      <c r="B5" s="9">
        <v>45789</v>
      </c>
      <c r="C5" s="2">
        <v>50.725433349609382</v>
      </c>
      <c r="D5" s="3">
        <v>6.7473010795681729E-2</v>
      </c>
      <c r="E5" s="4">
        <v>1.3981176454628219</v>
      </c>
      <c r="F5" s="5">
        <v>1.398117645462822E-2</v>
      </c>
      <c r="G5" s="4">
        <v>22.194429561034799</v>
      </c>
      <c r="H5" s="5">
        <v>0.22194429561034801</v>
      </c>
      <c r="I5" s="3">
        <v>0.12</v>
      </c>
      <c r="J5" s="2">
        <v>10993.064445708789</v>
      </c>
      <c r="K5" s="2">
        <v>1465741.926094505</v>
      </c>
      <c r="L5" s="6">
        <v>12.58225123475931</v>
      </c>
      <c r="M5" s="7">
        <v>1.4927548585008119</v>
      </c>
      <c r="N5" s="6">
        <v>0.70920123439837157</v>
      </c>
      <c r="O5" s="2">
        <v>13306.08009174546</v>
      </c>
      <c r="P5" s="2">
        <v>1340.197231189311</v>
      </c>
      <c r="Q5" s="2">
        <v>67982.085326024448</v>
      </c>
      <c r="R5" s="3">
        <v>4.6380665051428183E-2</v>
      </c>
      <c r="S5" s="2">
        <v>950.46953069673953</v>
      </c>
      <c r="T5" s="7">
        <v>10575.277701486781</v>
      </c>
      <c r="U5" t="s">
        <v>55</v>
      </c>
      <c r="V5" s="5">
        <v>0.70920123439837157</v>
      </c>
      <c r="W5">
        <f t="shared" si="0"/>
        <v>10575.277701486779</v>
      </c>
      <c r="X5">
        <f t="shared" si="1"/>
        <v>1.0000000000000002</v>
      </c>
      <c r="Y5">
        <f t="shared" si="2"/>
        <v>1.0000000000000002</v>
      </c>
    </row>
    <row r="6" spans="1:25" x14ac:dyDescent="0.25">
      <c r="A6" t="s">
        <v>22</v>
      </c>
      <c r="B6" s="9">
        <v>45790</v>
      </c>
      <c r="C6" s="2">
        <v>51.048465728759773</v>
      </c>
      <c r="D6" s="3">
        <v>6.7473010795681729E-2</v>
      </c>
      <c r="E6" s="4">
        <v>1.3581431290683239</v>
      </c>
      <c r="F6" s="5">
        <v>1.3581431290683239E-2</v>
      </c>
      <c r="G6" s="4">
        <v>21.559853786075301</v>
      </c>
      <c r="H6" s="5">
        <v>0.215598537860753</v>
      </c>
      <c r="I6" s="3">
        <v>0.12</v>
      </c>
      <c r="J6" s="2">
        <v>11016.1596022789</v>
      </c>
      <c r="K6" s="2">
        <v>1468821.2803038531</v>
      </c>
      <c r="L6" s="6">
        <v>13.39245600164142</v>
      </c>
      <c r="M6" s="7">
        <v>1.492546188297486</v>
      </c>
      <c r="N6" s="6">
        <v>0.69331122978994875</v>
      </c>
      <c r="O6" s="2">
        <v>14487.493595443681</v>
      </c>
      <c r="P6" s="2">
        <v>1458.9860063344011</v>
      </c>
      <c r="Q6" s="2">
        <v>74478.997143101733</v>
      </c>
      <c r="R6" s="3">
        <v>5.0706643580010202E-2</v>
      </c>
      <c r="S6" s="2">
        <v>1011.531382298029</v>
      </c>
      <c r="T6" s="7">
        <v>10817.6525602683</v>
      </c>
      <c r="U6" t="s">
        <v>55</v>
      </c>
      <c r="V6" s="5">
        <v>0.69331122978994875</v>
      </c>
      <c r="W6">
        <f t="shared" si="0"/>
        <v>10817.652560268292</v>
      </c>
      <c r="X6">
        <f t="shared" si="1"/>
        <v>1.0000000000000007</v>
      </c>
      <c r="Y6">
        <f t="shared" si="2"/>
        <v>0.99999999999999967</v>
      </c>
    </row>
    <row r="7" spans="1:25" x14ac:dyDescent="0.25">
      <c r="A7" t="s">
        <v>22</v>
      </c>
      <c r="B7" s="9">
        <v>45791</v>
      </c>
      <c r="C7" s="2">
        <v>50.637336730957031</v>
      </c>
      <c r="D7" s="3">
        <v>6.7473010795681729E-2</v>
      </c>
      <c r="E7" s="4">
        <v>1.3533875475839381</v>
      </c>
      <c r="F7" s="5">
        <v>1.3533875475839381E-2</v>
      </c>
      <c r="G7" s="4">
        <v>21.484361270392171</v>
      </c>
      <c r="H7" s="5">
        <v>0.21484361270392169</v>
      </c>
      <c r="I7" s="3">
        <v>0.12</v>
      </c>
      <c r="J7" s="2">
        <v>10995.53825334889</v>
      </c>
      <c r="K7" s="2">
        <v>1466071.767113185</v>
      </c>
      <c r="L7" s="6">
        <v>11.726103443559509</v>
      </c>
      <c r="M7" s="7">
        <v>1.4923408303196091</v>
      </c>
      <c r="N7" s="6">
        <v>0.68531940974492001</v>
      </c>
      <c r="O7" s="2">
        <v>12832.815556680391</v>
      </c>
      <c r="P7" s="2">
        <v>1292.1712186009891</v>
      </c>
      <c r="Q7" s="2">
        <v>65432.109110349353</v>
      </c>
      <c r="R7" s="3">
        <v>4.4630904556050843E-2</v>
      </c>
      <c r="S7" s="2">
        <v>885.55001682100351</v>
      </c>
      <c r="T7" s="7">
        <v>10943.802106511979</v>
      </c>
      <c r="U7" t="s">
        <v>55</v>
      </c>
      <c r="V7" s="5">
        <v>0.68531940974492001</v>
      </c>
      <c r="W7">
        <f t="shared" si="0"/>
        <v>10943.802106511977</v>
      </c>
      <c r="X7">
        <f t="shared" si="1"/>
        <v>1.0000000000000002</v>
      </c>
      <c r="Y7">
        <f t="shared" si="2"/>
        <v>0.99999999999999989</v>
      </c>
    </row>
    <row r="8" spans="1:25" x14ac:dyDescent="0.25">
      <c r="A8" t="s">
        <v>22</v>
      </c>
      <c r="B8" s="9">
        <v>45792</v>
      </c>
      <c r="C8" s="2">
        <v>51.244239807128913</v>
      </c>
      <c r="D8" s="3">
        <v>6.7473010795681729E-2</v>
      </c>
      <c r="E8" s="4">
        <v>1.3183902238912171</v>
      </c>
      <c r="F8" s="5">
        <v>1.318390223891217E-2</v>
      </c>
      <c r="G8" s="4">
        <v>20.928795980129561</v>
      </c>
      <c r="H8" s="5">
        <v>0.20928795980129561</v>
      </c>
      <c r="I8" s="3">
        <v>0.12</v>
      </c>
      <c r="J8" s="2">
        <v>11030.70134834174</v>
      </c>
      <c r="K8" s="2">
        <v>1470760.1797788991</v>
      </c>
      <c r="L8" s="6">
        <v>13.347989209150271</v>
      </c>
      <c r="M8" s="7">
        <v>1.4921387319921751</v>
      </c>
      <c r="N8" s="6">
        <v>0.67559904792455883</v>
      </c>
      <c r="O8" s="2">
        <v>14817.94851194134</v>
      </c>
      <c r="P8" s="2">
        <v>1491.85761295571</v>
      </c>
      <c r="Q8" s="2">
        <v>76449.109276393297</v>
      </c>
      <c r="R8" s="3">
        <v>5.1979316769295431E-2</v>
      </c>
      <c r="S8" s="2">
        <v>1007.897582951883</v>
      </c>
      <c r="T8" s="7">
        <v>11101.258983475491</v>
      </c>
      <c r="U8" t="s">
        <v>55</v>
      </c>
      <c r="V8" s="5">
        <v>0.67559904792455883</v>
      </c>
      <c r="W8">
        <f t="shared" si="0"/>
        <v>11101.258983475491</v>
      </c>
      <c r="X8">
        <f t="shared" si="1"/>
        <v>1</v>
      </c>
      <c r="Y8">
        <f t="shared" si="2"/>
        <v>1.0000000000000002</v>
      </c>
    </row>
    <row r="9" spans="1:25" x14ac:dyDescent="0.25">
      <c r="A9" t="s">
        <v>22</v>
      </c>
      <c r="B9" s="9">
        <v>45793</v>
      </c>
      <c r="C9" s="2">
        <v>51.146354675292969</v>
      </c>
      <c r="D9" s="3">
        <v>6.7473010795681729E-2</v>
      </c>
      <c r="E9" s="4">
        <v>1.2935853282553871</v>
      </c>
      <c r="F9" s="5">
        <v>1.293585328255387E-2</v>
      </c>
      <c r="G9" s="4">
        <v>20.535030469233661</v>
      </c>
      <c r="H9" s="5">
        <v>0.20535030469233659</v>
      </c>
      <c r="I9" s="3">
        <v>0.12</v>
      </c>
      <c r="J9" s="2">
        <v>11040.4182039924</v>
      </c>
      <c r="K9" s="2">
        <v>1472055.76053232</v>
      </c>
      <c r="L9" s="6">
        <v>13.39643876030736</v>
      </c>
      <c r="M9" s="7">
        <v>1.4919398415747001</v>
      </c>
      <c r="N9" s="6">
        <v>0.66162174001705309</v>
      </c>
      <c r="O9" s="2">
        <v>15185.91131840914</v>
      </c>
      <c r="P9" s="2">
        <v>1528.6999835751169</v>
      </c>
      <c r="Q9" s="2">
        <v>78187.431552047477</v>
      </c>
      <c r="R9" s="3">
        <v>5.311444963455296E-2</v>
      </c>
      <c r="S9" s="2">
        <v>1011.421143097009</v>
      </c>
      <c r="T9" s="7">
        <v>11335.782285217359</v>
      </c>
      <c r="U9" t="s">
        <v>55</v>
      </c>
      <c r="V9" s="5">
        <v>0.66162174001705298</v>
      </c>
      <c r="W9">
        <f t="shared" si="0"/>
        <v>11335.782285217369</v>
      </c>
      <c r="X9">
        <f t="shared" si="1"/>
        <v>0.99999999999999922</v>
      </c>
      <c r="Y9">
        <f t="shared" si="2"/>
        <v>1.0000000000000009</v>
      </c>
    </row>
    <row r="10" spans="1:25" x14ac:dyDescent="0.25">
      <c r="A10" t="s">
        <v>22</v>
      </c>
      <c r="B10" s="9">
        <v>45796</v>
      </c>
      <c r="C10" s="2">
        <v>51.449806213378913</v>
      </c>
      <c r="D10" s="3">
        <v>6.7473010795681729E-2</v>
      </c>
      <c r="E10" s="4">
        <v>1.2580349438739249</v>
      </c>
      <c r="F10" s="5">
        <v>1.2580349438739249E-2</v>
      </c>
      <c r="G10" s="4">
        <v>19.970685612717041</v>
      </c>
      <c r="H10" s="5">
        <v>0.1997068561271704</v>
      </c>
      <c r="I10" s="3">
        <v>0.12</v>
      </c>
      <c r="J10" s="2">
        <v>11070.868354496981</v>
      </c>
      <c r="K10" s="2">
        <v>1476115.7805995969</v>
      </c>
      <c r="L10" s="6">
        <v>14.28003425442367</v>
      </c>
      <c r="M10" s="7">
        <v>1.491744108147979</v>
      </c>
      <c r="N10" s="6">
        <v>0.6472565407197246</v>
      </c>
      <c r="O10" s="2">
        <v>16546.801796562158</v>
      </c>
      <c r="P10" s="2">
        <v>1665.476410451997</v>
      </c>
      <c r="Q10" s="2">
        <v>85688.438570709171</v>
      </c>
      <c r="R10" s="3">
        <v>5.8049944114751333E-2</v>
      </c>
      <c r="S10" s="2">
        <v>1077.990500079464</v>
      </c>
      <c r="T10" s="7">
        <v>11587.36842065788</v>
      </c>
      <c r="U10" t="s">
        <v>55</v>
      </c>
      <c r="V10" s="5">
        <v>0.64725654071972472</v>
      </c>
      <c r="W10">
        <f t="shared" si="0"/>
        <v>11587.368420657886</v>
      </c>
      <c r="X10">
        <f t="shared" si="1"/>
        <v>0.99999999999999956</v>
      </c>
      <c r="Y10">
        <f t="shared" si="2"/>
        <v>1.0000000000000002</v>
      </c>
    </row>
    <row r="11" spans="1:25" x14ac:dyDescent="0.25">
      <c r="A11" t="s">
        <v>22</v>
      </c>
      <c r="B11" s="9">
        <v>45797</v>
      </c>
      <c r="C11" s="2">
        <v>51.4595947265625</v>
      </c>
      <c r="D11" s="3">
        <v>6.7473010795681729E-2</v>
      </c>
      <c r="E11" s="4">
        <v>1.230214818968741</v>
      </c>
      <c r="F11" s="5">
        <v>1.230214818968741E-2</v>
      </c>
      <c r="G11" s="4">
        <v>19.529054821065809</v>
      </c>
      <c r="H11" s="5">
        <v>0.19529054821065811</v>
      </c>
      <c r="I11" s="3">
        <v>0.12</v>
      </c>
      <c r="J11" s="2">
        <v>11083.971722534499</v>
      </c>
      <c r="K11" s="2">
        <v>1477862.8963379329</v>
      </c>
      <c r="L11" s="6">
        <v>14.70854977735798</v>
      </c>
      <c r="M11" s="7">
        <v>1.491551481601046</v>
      </c>
      <c r="N11" s="6">
        <v>0.63306356010742881</v>
      </c>
      <c r="O11" s="2">
        <v>17425.44197480975</v>
      </c>
      <c r="P11" s="2">
        <v>1753.687231304413</v>
      </c>
      <c r="Q11" s="2">
        <v>90244.03420007255</v>
      </c>
      <c r="R11" s="3">
        <v>6.106387434429307E-2</v>
      </c>
      <c r="S11" s="2">
        <v>1110.1954819645121</v>
      </c>
      <c r="T11" s="7">
        <v>11847.151648923331</v>
      </c>
      <c r="U11" t="s">
        <v>55</v>
      </c>
      <c r="V11" s="5">
        <v>0.63306356010742881</v>
      </c>
      <c r="W11">
        <f t="shared" si="0"/>
        <v>11847.151648923335</v>
      </c>
      <c r="X11">
        <f t="shared" si="1"/>
        <v>0.99999999999999967</v>
      </c>
      <c r="Y11">
        <f t="shared" si="2"/>
        <v>1</v>
      </c>
    </row>
    <row r="12" spans="1:25" x14ac:dyDescent="0.25">
      <c r="A12" t="s">
        <v>22</v>
      </c>
      <c r="B12" s="9">
        <v>45798</v>
      </c>
      <c r="C12" s="2">
        <v>51.009311676025391</v>
      </c>
      <c r="D12" s="3">
        <v>6.7473010795681729E-2</v>
      </c>
      <c r="E12" s="4">
        <v>1.2323935674460229</v>
      </c>
      <c r="F12" s="5">
        <v>1.232393567446023E-2</v>
      </c>
      <c r="G12" s="4">
        <v>19.563641380907299</v>
      </c>
      <c r="H12" s="5">
        <v>0.19563641380907301</v>
      </c>
      <c r="I12" s="3">
        <v>0.12</v>
      </c>
      <c r="J12" s="2">
        <v>11024.08524507603</v>
      </c>
      <c r="K12" s="2">
        <v>1469878.0326768041</v>
      </c>
      <c r="L12" s="6">
        <v>12.15733193632806</v>
      </c>
      <c r="M12" s="7">
        <v>1.491361912618351</v>
      </c>
      <c r="N12" s="6">
        <v>0.62863547589382995</v>
      </c>
      <c r="O12" s="2">
        <v>14504.42951741079</v>
      </c>
      <c r="P12" s="2">
        <v>1459.532564888154</v>
      </c>
      <c r="Q12" s="2">
        <v>74449.751503688589</v>
      </c>
      <c r="R12" s="3">
        <v>5.0650291962053277E-2</v>
      </c>
      <c r="S12" s="2">
        <v>917.51394851100679</v>
      </c>
      <c r="T12" s="7">
        <v>11930.60253135741</v>
      </c>
      <c r="U12" t="s">
        <v>55</v>
      </c>
      <c r="V12" s="5">
        <v>0.62863547589382995</v>
      </c>
      <c r="W12">
        <f t="shared" si="0"/>
        <v>11930.602531357412</v>
      </c>
      <c r="X12">
        <f t="shared" si="1"/>
        <v>0.99999999999999989</v>
      </c>
      <c r="Y12">
        <f t="shared" si="2"/>
        <v>1.0000000000000002</v>
      </c>
    </row>
    <row r="13" spans="1:25" x14ac:dyDescent="0.25">
      <c r="A13" t="s">
        <v>22</v>
      </c>
      <c r="B13" s="9">
        <v>45799</v>
      </c>
      <c r="C13" s="2">
        <v>51.038677215576172</v>
      </c>
      <c r="D13" s="3">
        <v>6.7473010795681729E-2</v>
      </c>
      <c r="E13" s="4">
        <v>1.204369689865822</v>
      </c>
      <c r="F13" s="5">
        <v>1.204369689865822E-2</v>
      </c>
      <c r="G13" s="4">
        <v>19.11877611581372</v>
      </c>
      <c r="H13" s="5">
        <v>0.19118776115813721</v>
      </c>
      <c r="I13" s="3">
        <v>0.12</v>
      </c>
      <c r="J13" s="2">
        <v>11025.7772404436</v>
      </c>
      <c r="K13" s="2">
        <v>1470103.632059146</v>
      </c>
      <c r="L13" s="6">
        <v>10.550734198140111</v>
      </c>
      <c r="M13" s="7">
        <v>1.491175352667127</v>
      </c>
      <c r="N13" s="6">
        <v>0.61469435849285281</v>
      </c>
      <c r="O13" s="2">
        <v>12873.146693597129</v>
      </c>
      <c r="P13" s="2">
        <v>1295.21994864261</v>
      </c>
      <c r="Q13" s="2">
        <v>66106.312881945298</v>
      </c>
      <c r="R13" s="3">
        <v>4.4967110780721922E-2</v>
      </c>
      <c r="S13" s="2">
        <v>796.16439543801471</v>
      </c>
      <c r="T13" s="7">
        <v>12201.185672809779</v>
      </c>
      <c r="U13" t="s">
        <v>55</v>
      </c>
      <c r="V13" s="5">
        <v>0.61469435849285281</v>
      </c>
      <c r="W13">
        <f t="shared" si="0"/>
        <v>12201.185672809792</v>
      </c>
      <c r="X13">
        <f t="shared" si="1"/>
        <v>0.999999999999999</v>
      </c>
      <c r="Y13">
        <f t="shared" si="2"/>
        <v>1.0000000000000007</v>
      </c>
    </row>
    <row r="14" spans="1:25" x14ac:dyDescent="0.25">
      <c r="A14" t="s">
        <v>22</v>
      </c>
      <c r="B14" s="9">
        <v>45800</v>
      </c>
      <c r="C14" s="2">
        <v>51.449806213378913</v>
      </c>
      <c r="D14" s="3">
        <v>6.7473010795681729E-2</v>
      </c>
      <c r="E14" s="4">
        <v>1.1738542297688861</v>
      </c>
      <c r="F14" s="5">
        <v>1.1738542297688861E-2</v>
      </c>
      <c r="G14" s="4">
        <v>18.634358204458479</v>
      </c>
      <c r="H14" s="5">
        <v>0.18634358204458479</v>
      </c>
      <c r="I14" s="3">
        <v>0.12</v>
      </c>
      <c r="J14" s="2">
        <v>11073.26622285691</v>
      </c>
      <c r="K14" s="2">
        <v>1476435.496380921</v>
      </c>
      <c r="L14" s="6">
        <v>13.284766474427281</v>
      </c>
      <c r="M14" s="7">
        <v>1.4909917539849711</v>
      </c>
      <c r="N14" s="6">
        <v>0.60394572644364342</v>
      </c>
      <c r="O14" s="2">
        <v>16497.467271589681</v>
      </c>
      <c r="P14" s="2">
        <v>1659.673297998414</v>
      </c>
      <c r="Q14" s="2">
        <v>85389.869559537852</v>
      </c>
      <c r="R14" s="3">
        <v>5.7835150786368798E-2</v>
      </c>
      <c r="S14" s="2">
        <v>1002.35259561877</v>
      </c>
      <c r="T14" s="7">
        <v>12418.33441584896</v>
      </c>
      <c r="U14" t="s">
        <v>55</v>
      </c>
      <c r="V14" s="5">
        <v>0.60394572644364342</v>
      </c>
      <c r="W14">
        <f t="shared" si="0"/>
        <v>12418.33441584896</v>
      </c>
      <c r="X14">
        <f t="shared" si="1"/>
        <v>1</v>
      </c>
      <c r="Y14">
        <f t="shared" si="2"/>
        <v>1.0000000000000002</v>
      </c>
    </row>
    <row r="15" spans="1:25" x14ac:dyDescent="0.25">
      <c r="A15" t="s">
        <v>22</v>
      </c>
      <c r="B15" s="9">
        <v>45803</v>
      </c>
      <c r="D15" s="3">
        <v>6.7473010795681729E-2</v>
      </c>
      <c r="E15" s="4">
        <v>1.1739625300305809</v>
      </c>
      <c r="F15" s="5">
        <v>1.173962530030581E-2</v>
      </c>
      <c r="G15" s="4">
        <v>18.63607741781469</v>
      </c>
      <c r="H15" s="5">
        <v>0.18636077417814689</v>
      </c>
      <c r="I15" s="3">
        <v>0.12</v>
      </c>
      <c r="J15" s="2">
        <v>11073.104114300409</v>
      </c>
      <c r="K15" s="2">
        <v>1476413.881906721</v>
      </c>
      <c r="L15" s="6">
        <v>13.283488668557229</v>
      </c>
      <c r="M15" s="7">
        <v>1.49081106956761</v>
      </c>
      <c r="O15" s="2">
        <v>16494.358673386581</v>
      </c>
      <c r="P15" s="2">
        <v>1659.1594796938241</v>
      </c>
      <c r="T15" s="7">
        <v>12417.188801033621</v>
      </c>
      <c r="U15" t="s">
        <v>55</v>
      </c>
      <c r="V15" s="5">
        <v>0.60400144671841427</v>
      </c>
      <c r="W15" t="e">
        <f t="shared" si="0"/>
        <v>#DIV/0!</v>
      </c>
      <c r="X15" t="e">
        <f t="shared" si="1"/>
        <v>#DIV/0!</v>
      </c>
      <c r="Y15">
        <f t="shared" si="2"/>
        <v>1.0000000000000002</v>
      </c>
    </row>
    <row r="16" spans="1:25" x14ac:dyDescent="0.25">
      <c r="A16" t="s">
        <v>22</v>
      </c>
      <c r="B16" s="9">
        <v>45804</v>
      </c>
      <c r="C16" s="2">
        <v>51.792411804199219</v>
      </c>
      <c r="D16" s="3">
        <v>6.7473010795681729E-2</v>
      </c>
      <c r="E16" s="4">
        <v>1.166304238588266</v>
      </c>
      <c r="F16" s="5">
        <v>1.1663042385882659E-2</v>
      </c>
      <c r="G16" s="4">
        <v>18.51450581007056</v>
      </c>
      <c r="H16" s="5">
        <v>0.18514505810070561</v>
      </c>
      <c r="I16" s="3">
        <v>0.12</v>
      </c>
      <c r="J16" s="2">
        <v>11103.75891821494</v>
      </c>
      <c r="K16" s="2">
        <v>1480501.189095326</v>
      </c>
      <c r="L16" s="6">
        <v>14.940748446733361</v>
      </c>
      <c r="M16" s="7">
        <v>1.490633253156874</v>
      </c>
      <c r="N16" s="6">
        <v>0.60405709413946496</v>
      </c>
      <c r="O16" s="2">
        <v>18550.50034800663</v>
      </c>
      <c r="P16" s="2">
        <v>1865.763200745168</v>
      </c>
      <c r="Q16" s="2">
        <v>96632.376022114535</v>
      </c>
      <c r="R16" s="3">
        <v>6.5270042829997765E-2</v>
      </c>
      <c r="S16" s="2">
        <v>1127.0274973944729</v>
      </c>
      <c r="T16" s="7">
        <v>12416.044895035029</v>
      </c>
      <c r="U16" t="s">
        <v>55</v>
      </c>
      <c r="V16" s="5">
        <v>0.60405709413946496</v>
      </c>
      <c r="W16">
        <f t="shared" si="0"/>
        <v>12416.044895035035</v>
      </c>
      <c r="X16">
        <f t="shared" si="1"/>
        <v>0.99999999999999956</v>
      </c>
      <c r="Y16">
        <f t="shared" si="2"/>
        <v>1.0000000000000002</v>
      </c>
    </row>
    <row r="17" spans="1:25" x14ac:dyDescent="0.25">
      <c r="A17" t="s">
        <v>22</v>
      </c>
      <c r="B17" s="9">
        <v>45805</v>
      </c>
      <c r="C17" s="2">
        <v>51.351917266845703</v>
      </c>
      <c r="D17" s="3">
        <v>6.7473010795681729E-2</v>
      </c>
      <c r="E17" s="4">
        <v>1.1677409125858209</v>
      </c>
      <c r="F17" s="5">
        <v>1.1677409125858211E-2</v>
      </c>
      <c r="G17" s="4">
        <v>18.53731230274618</v>
      </c>
      <c r="H17" s="5">
        <v>0.18537312302746181</v>
      </c>
      <c r="I17" s="3">
        <v>0.12</v>
      </c>
      <c r="J17" s="2">
        <v>11060.54828435737</v>
      </c>
      <c r="K17" s="2">
        <v>1474739.7712476491</v>
      </c>
      <c r="L17" s="6">
        <v>9.9592254091312267</v>
      </c>
      <c r="M17" s="7">
        <v>1.4904582592288489</v>
      </c>
      <c r="N17" s="6">
        <v>0.59965734732217979</v>
      </c>
      <c r="O17" s="2">
        <v>12456.145313992631</v>
      </c>
      <c r="P17" s="2">
        <v>1252.6610502428839</v>
      </c>
      <c r="Q17" s="2">
        <v>64326.546615472609</v>
      </c>
      <c r="R17" s="3">
        <v>4.3618913566731518E-2</v>
      </c>
      <c r="S17" s="2">
        <v>751.16740248246333</v>
      </c>
      <c r="T17" s="7">
        <v>12507.14267655</v>
      </c>
      <c r="U17" t="s">
        <v>55</v>
      </c>
      <c r="V17" s="5">
        <v>0.59965734732217979</v>
      </c>
      <c r="W17">
        <f t="shared" si="0"/>
        <v>12507.142676549998</v>
      </c>
      <c r="X17">
        <f t="shared" si="1"/>
        <v>1.0000000000000002</v>
      </c>
      <c r="Y17">
        <f t="shared" si="2"/>
        <v>0.99999999999999989</v>
      </c>
    </row>
    <row r="18" spans="1:25" x14ac:dyDescent="0.25">
      <c r="A18" t="s">
        <v>22</v>
      </c>
      <c r="B18" s="9">
        <v>45806</v>
      </c>
      <c r="C18" s="2">
        <v>51.567272186279297</v>
      </c>
      <c r="D18" s="3">
        <v>6.7473010795681729E-2</v>
      </c>
      <c r="E18" s="4">
        <v>1.1358783280329441</v>
      </c>
      <c r="F18" s="5">
        <v>1.1358783280329439E-2</v>
      </c>
      <c r="G18" s="4">
        <v>18.031509453618099</v>
      </c>
      <c r="H18" s="5">
        <v>0.180315094536181</v>
      </c>
      <c r="I18" s="3">
        <v>0.12</v>
      </c>
      <c r="J18" s="2">
        <v>11117.82706560668</v>
      </c>
      <c r="K18" s="2">
        <v>1482376.942080891</v>
      </c>
      <c r="L18" s="6">
        <v>11.033095067149519</v>
      </c>
      <c r="M18" s="7">
        <v>1.49028604298222</v>
      </c>
      <c r="N18" s="6">
        <v>0.58574146912170644</v>
      </c>
      <c r="O18" s="2">
        <v>14127.08803556263</v>
      </c>
      <c r="P18" s="2">
        <v>1420.5364290475361</v>
      </c>
      <c r="Q18" s="2">
        <v>73253.188687219517</v>
      </c>
      <c r="R18" s="3">
        <v>4.9416033538939259E-2</v>
      </c>
      <c r="S18" s="2">
        <v>832.06709489120647</v>
      </c>
      <c r="T18" s="7">
        <v>12804.28379306303</v>
      </c>
      <c r="U18" t="s">
        <v>55</v>
      </c>
      <c r="V18" s="5">
        <v>0.58574146912170644</v>
      </c>
      <c r="W18">
        <f t="shared" si="0"/>
        <v>12804.283793063034</v>
      </c>
      <c r="X18">
        <f t="shared" si="1"/>
        <v>0.99999999999999967</v>
      </c>
      <c r="Y18">
        <f t="shared" si="2"/>
        <v>1.0000000000000007</v>
      </c>
    </row>
    <row r="19" spans="1:25" x14ac:dyDescent="0.25">
      <c r="A19" t="s">
        <v>22</v>
      </c>
      <c r="B19" s="9">
        <v>45807</v>
      </c>
      <c r="C19" s="2">
        <v>51.723892211914063</v>
      </c>
      <c r="D19" s="3">
        <v>6.7473010795681729E-2</v>
      </c>
      <c r="E19" s="4">
        <v>1.105686170315068</v>
      </c>
      <c r="F19" s="5">
        <v>1.1056861703150679E-2</v>
      </c>
      <c r="G19" s="4">
        <v>17.552223808422461</v>
      </c>
      <c r="H19" s="5">
        <v>0.17552223808422471</v>
      </c>
      <c r="I19" s="3">
        <v>0.12</v>
      </c>
      <c r="J19" s="2">
        <v>11114.740283476929</v>
      </c>
      <c r="K19" s="2">
        <v>1481965.3711302569</v>
      </c>
      <c r="L19" s="6">
        <v>13.198826952909609</v>
      </c>
      <c r="M19" s="7">
        <v>1.4901165603268081</v>
      </c>
      <c r="N19" s="6">
        <v>0.57190392293580627</v>
      </c>
      <c r="O19" s="2">
        <v>17309.061570807469</v>
      </c>
      <c r="P19" s="2">
        <v>1740.2989325527139</v>
      </c>
      <c r="Q19" s="2">
        <v>90015.034403865662</v>
      </c>
      <c r="R19" s="3">
        <v>6.0740308888063622E-2</v>
      </c>
      <c r="S19" s="2">
        <v>995.28378660789315</v>
      </c>
      <c r="T19" s="7">
        <v>13114.09084501391</v>
      </c>
      <c r="U19" t="s">
        <v>55</v>
      </c>
      <c r="V19" s="5">
        <v>0.57190392293580627</v>
      </c>
      <c r="W19">
        <f t="shared" si="0"/>
        <v>13114.090845013914</v>
      </c>
      <c r="X19">
        <f t="shared" si="1"/>
        <v>0.99999999999999978</v>
      </c>
      <c r="Y19">
        <f t="shared" si="2"/>
        <v>1.0000000000000002</v>
      </c>
    </row>
    <row r="20" spans="1:25" x14ac:dyDescent="0.25">
      <c r="A20" t="s">
        <v>22</v>
      </c>
      <c r="B20" s="9">
        <v>45810</v>
      </c>
      <c r="C20" s="2">
        <v>52.399318695068359</v>
      </c>
      <c r="D20" s="3">
        <v>6.7473010795681729E-2</v>
      </c>
      <c r="E20" s="4">
        <v>1.088454764543233</v>
      </c>
      <c r="F20" s="5">
        <v>1.088454764543233E-2</v>
      </c>
      <c r="G20" s="4">
        <v>17.278683721948561</v>
      </c>
      <c r="H20" s="5">
        <v>0.1727868372194856</v>
      </c>
      <c r="I20" s="3">
        <v>0.12</v>
      </c>
      <c r="J20" s="2">
        <v>11198.09702599189</v>
      </c>
      <c r="K20" s="2">
        <v>1493079.603465586</v>
      </c>
      <c r="L20" s="6">
        <v>15.112858442544219</v>
      </c>
      <c r="M20" s="7">
        <v>1.4899497678722751</v>
      </c>
      <c r="N20" s="6">
        <v>0.57034288092466467</v>
      </c>
      <c r="O20" s="2">
        <v>19873.385310836089</v>
      </c>
      <c r="P20" s="2">
        <v>1997.899183928397</v>
      </c>
      <c r="Q20" s="2">
        <v>104688.55605928109</v>
      </c>
      <c r="R20" s="3">
        <v>7.0115857062335141E-2</v>
      </c>
      <c r="S20" s="2">
        <v>1139.4875763587579</v>
      </c>
      <c r="T20" s="7">
        <v>13149.984423125739</v>
      </c>
      <c r="U20" t="s">
        <v>55</v>
      </c>
      <c r="V20" s="5">
        <v>0.57034288092466467</v>
      </c>
      <c r="W20">
        <f t="shared" si="0"/>
        <v>13149.984423125745</v>
      </c>
      <c r="X20">
        <f t="shared" si="1"/>
        <v>0.99999999999999956</v>
      </c>
      <c r="Y20">
        <f t="shared" si="2"/>
        <v>1.0000000000000002</v>
      </c>
    </row>
    <row r="21" spans="1:25" x14ac:dyDescent="0.25">
      <c r="A21" t="s">
        <v>22</v>
      </c>
      <c r="B21" s="9">
        <v>45811</v>
      </c>
      <c r="C21" s="2">
        <v>52.281852722167969</v>
      </c>
      <c r="D21" s="3">
        <v>6.7473010795681729E-2</v>
      </c>
      <c r="E21" s="4">
        <v>1.069526161393729</v>
      </c>
      <c r="F21" s="5">
        <v>1.0695261613937289E-2</v>
      </c>
      <c r="G21" s="4">
        <v>16.978201462352029</v>
      </c>
      <c r="H21" s="5">
        <v>0.1697820146235203</v>
      </c>
      <c r="I21" s="3">
        <v>0.12</v>
      </c>
      <c r="J21" s="2">
        <v>11166.44890125633</v>
      </c>
      <c r="K21" s="2">
        <v>1488859.853500844</v>
      </c>
      <c r="L21" s="6">
        <v>15.150493424899549</v>
      </c>
      <c r="M21" s="7">
        <v>1.489785622917021</v>
      </c>
      <c r="N21" s="6">
        <v>0.55916809252492605</v>
      </c>
      <c r="O21" s="2">
        <v>20321.02729139206</v>
      </c>
      <c r="P21" s="2">
        <v>2042.676194910187</v>
      </c>
      <c r="Q21" s="2">
        <v>106794.8959813729</v>
      </c>
      <c r="R21" s="3">
        <v>7.1729314031982072E-2</v>
      </c>
      <c r="S21" s="2">
        <v>1142.199351554003</v>
      </c>
      <c r="T21" s="7">
        <v>13412.78248931143</v>
      </c>
      <c r="U21" t="s">
        <v>55</v>
      </c>
      <c r="V21" s="5">
        <v>0.55916809252492605</v>
      </c>
      <c r="W21">
        <f t="shared" si="0"/>
        <v>13412.782489311432</v>
      </c>
      <c r="X21">
        <f t="shared" si="1"/>
        <v>0.99999999999999989</v>
      </c>
      <c r="Y21">
        <f t="shared" si="2"/>
        <v>0.99999999999999978</v>
      </c>
    </row>
    <row r="22" spans="1:25" x14ac:dyDescent="0.25">
      <c r="A22" t="s">
        <v>22</v>
      </c>
      <c r="B22" s="9">
        <v>45812</v>
      </c>
      <c r="C22" s="2">
        <v>52.751712799072273</v>
      </c>
      <c r="D22" s="3">
        <v>6.7473010795681729E-2</v>
      </c>
      <c r="E22" s="4">
        <v>1.044161289943595</v>
      </c>
      <c r="F22" s="5">
        <v>1.044161289943595E-2</v>
      </c>
      <c r="G22" s="4">
        <v>16.575546610986969</v>
      </c>
      <c r="H22" s="5">
        <v>0.16575546610986969</v>
      </c>
      <c r="I22" s="3">
        <v>0.12</v>
      </c>
      <c r="J22" s="2">
        <v>11230.396365610541</v>
      </c>
      <c r="K22" s="2">
        <v>1497386.1820814051</v>
      </c>
      <c r="L22" s="6">
        <v>16.263050474921538</v>
      </c>
      <c r="M22" s="7">
        <v>1.4896240834372469</v>
      </c>
      <c r="N22" s="6">
        <v>0.55081296483013353</v>
      </c>
      <c r="O22" s="2">
        <v>22144.15533946755</v>
      </c>
      <c r="P22" s="2">
        <v>2225.696250851151</v>
      </c>
      <c r="Q22" s="2">
        <v>117409.2894028718</v>
      </c>
      <c r="R22" s="3">
        <v>7.8409491691495303E-2</v>
      </c>
      <c r="S22" s="2">
        <v>1225.942350742635</v>
      </c>
      <c r="T22" s="7">
        <v>13616.237232747309</v>
      </c>
      <c r="U22" t="s">
        <v>55</v>
      </c>
      <c r="V22" s="5">
        <v>0.55081296483013353</v>
      </c>
      <c r="W22">
        <f t="shared" si="0"/>
        <v>13616.237232747311</v>
      </c>
      <c r="X22">
        <f t="shared" si="1"/>
        <v>0.99999999999999989</v>
      </c>
      <c r="Y22">
        <f t="shared" si="2"/>
        <v>1.0000000000000002</v>
      </c>
    </row>
    <row r="23" spans="1:25" x14ac:dyDescent="0.25">
      <c r="A23" t="s">
        <v>22</v>
      </c>
      <c r="B23" s="9">
        <v>45813</v>
      </c>
      <c r="C23" s="2">
        <v>52.771289825439453</v>
      </c>
      <c r="D23" s="3">
        <v>6.7473010795681729E-2</v>
      </c>
      <c r="E23" s="4">
        <v>1.020863326861285</v>
      </c>
      <c r="F23" s="5">
        <v>1.0208633268612851E-2</v>
      </c>
      <c r="G23" s="4">
        <v>16.205702912766021</v>
      </c>
      <c r="H23" s="5">
        <v>0.16205702912766021</v>
      </c>
      <c r="I23" s="3">
        <v>0.12</v>
      </c>
      <c r="J23" s="2">
        <v>11210.896696448001</v>
      </c>
      <c r="K23" s="2">
        <v>1494786.226193066</v>
      </c>
      <c r="L23" s="6">
        <v>16.82056955077616</v>
      </c>
      <c r="M23" s="7">
        <v>1.4894651080761989</v>
      </c>
      <c r="N23" s="6">
        <v>0.53872274493959171</v>
      </c>
      <c r="O23" s="2">
        <v>23417.290770778061</v>
      </c>
      <c r="P23" s="2">
        <v>2353.407170354511</v>
      </c>
      <c r="Q23" s="2">
        <v>124192.33186404531</v>
      </c>
      <c r="R23" s="3">
        <v>8.3083674232361182E-2</v>
      </c>
      <c r="S23" s="2">
        <v>1267.8339707739001</v>
      </c>
      <c r="T23" s="7">
        <v>13921.8179860607</v>
      </c>
      <c r="U23" t="s">
        <v>55</v>
      </c>
      <c r="V23" s="5">
        <v>0.53872274493959171</v>
      </c>
      <c r="W23">
        <f t="shared" si="0"/>
        <v>13921.817986060694</v>
      </c>
      <c r="X23">
        <f t="shared" si="1"/>
        <v>1.0000000000000004</v>
      </c>
      <c r="Y23">
        <f t="shared" si="2"/>
        <v>1.0000000000000002</v>
      </c>
    </row>
    <row r="24" spans="1:25" x14ac:dyDescent="0.25">
      <c r="A24" t="s">
        <v>22</v>
      </c>
      <c r="B24" s="9">
        <v>45814</v>
      </c>
      <c r="C24" s="2">
        <v>52.849605560302727</v>
      </c>
      <c r="D24" s="3">
        <v>6.7473010795681729E-2</v>
      </c>
      <c r="E24" s="4">
        <v>0.99653231401517994</v>
      </c>
      <c r="F24" s="5">
        <v>9.9653231401517998E-3</v>
      </c>
      <c r="G24" s="4">
        <v>15.81946005794336</v>
      </c>
      <c r="H24" s="5">
        <v>0.1581946005794336</v>
      </c>
      <c r="I24" s="3">
        <v>0.12</v>
      </c>
      <c r="J24" s="2">
        <v>11186.97896177642</v>
      </c>
      <c r="K24" s="2">
        <v>1491597.194903523</v>
      </c>
      <c r="L24" s="6">
        <v>17.172358394470471</v>
      </c>
      <c r="M24" s="7">
        <v>1.4893086561335811</v>
      </c>
      <c r="N24" s="6">
        <v>0.52666339723798006</v>
      </c>
      <c r="O24" s="2">
        <v>24454.459648034321</v>
      </c>
      <c r="P24" s="2">
        <v>2457.3831411314131</v>
      </c>
      <c r="Q24" s="2">
        <v>129871.7297193329</v>
      </c>
      <c r="R24" s="3">
        <v>8.7068901820865297E-2</v>
      </c>
      <c r="S24" s="2">
        <v>1294.213753423609</v>
      </c>
      <c r="T24" s="7">
        <v>14240.594731535941</v>
      </c>
      <c r="U24" t="s">
        <v>55</v>
      </c>
      <c r="V24" s="5">
        <v>0.52666339723798006</v>
      </c>
      <c r="W24">
        <f t="shared" si="0"/>
        <v>14240.594731535946</v>
      </c>
      <c r="X24">
        <f t="shared" si="1"/>
        <v>0.99999999999999967</v>
      </c>
      <c r="Y24">
        <f t="shared" si="2"/>
        <v>1.0000000000000002</v>
      </c>
    </row>
    <row r="25" spans="1:25" x14ac:dyDescent="0.25">
      <c r="A25" t="s">
        <v>22</v>
      </c>
      <c r="B25" s="9">
        <v>45817</v>
      </c>
      <c r="C25" s="2">
        <v>53.074745178222663</v>
      </c>
      <c r="D25" s="3">
        <v>6.7473010795681729E-2</v>
      </c>
      <c r="E25" s="4">
        <v>0.97092076807942451</v>
      </c>
      <c r="F25" s="5">
        <v>9.7092076807942448E-3</v>
      </c>
      <c r="G25" s="4">
        <v>15.41288937051586</v>
      </c>
      <c r="H25" s="5">
        <v>0.15412889370515859</v>
      </c>
      <c r="I25" s="3">
        <v>0.12</v>
      </c>
      <c r="J25" s="2">
        <v>11224.714403689801</v>
      </c>
      <c r="K25" s="2">
        <v>1496628.5871586399</v>
      </c>
      <c r="L25" s="6">
        <v>17.53209194667377</v>
      </c>
      <c r="M25" s="7">
        <v>1.489154687555132</v>
      </c>
      <c r="N25" s="6">
        <v>0.51531372354059668</v>
      </c>
      <c r="O25" s="2">
        <v>25516.628724073631</v>
      </c>
      <c r="P25" s="2">
        <v>2563.8534497204209</v>
      </c>
      <c r="Q25" s="2">
        <v>136075.8685182184</v>
      </c>
      <c r="R25" s="3">
        <v>9.0921601849500544E-2</v>
      </c>
      <c r="S25" s="2">
        <v>1321.1888677878339</v>
      </c>
      <c r="T25" s="7">
        <v>14554.24076127704</v>
      </c>
      <c r="U25" t="s">
        <v>55</v>
      </c>
      <c r="V25" s="5">
        <v>0.51531372354059668</v>
      </c>
      <c r="W25">
        <f t="shared" si="0"/>
        <v>14554.240761277037</v>
      </c>
      <c r="X25">
        <f t="shared" si="1"/>
        <v>1.0000000000000002</v>
      </c>
      <c r="Y25">
        <f t="shared" si="2"/>
        <v>1</v>
      </c>
    </row>
    <row r="26" spans="1:25" x14ac:dyDescent="0.25">
      <c r="A26" t="s">
        <v>22</v>
      </c>
      <c r="B26" s="9">
        <v>45818</v>
      </c>
      <c r="C26" s="2">
        <v>53.495662689208977</v>
      </c>
      <c r="D26" s="3">
        <v>6.7473010795681729E-2</v>
      </c>
      <c r="E26" s="4">
        <v>0.94827554663260705</v>
      </c>
      <c r="F26" s="5">
        <v>9.4827554663260705E-3</v>
      </c>
      <c r="G26" s="4">
        <v>15.05340762452227</v>
      </c>
      <c r="H26" s="5">
        <v>0.15053407624522269</v>
      </c>
      <c r="I26" s="3">
        <v>0.12</v>
      </c>
      <c r="J26" s="2">
        <v>11266.54529417644</v>
      </c>
      <c r="K26" s="2">
        <v>1502206.039223525</v>
      </c>
      <c r="L26" s="6">
        <v>17.956165869811532</v>
      </c>
      <c r="M26" s="7">
        <v>1.4890031629223719</v>
      </c>
      <c r="N26" s="6">
        <v>0.50728628779083207</v>
      </c>
      <c r="O26" s="2">
        <v>26547.38502987392</v>
      </c>
      <c r="P26" s="2">
        <v>2667.1501086752378</v>
      </c>
      <c r="Q26" s="2">
        <v>142680.9625551776</v>
      </c>
      <c r="R26" s="3">
        <v>9.4980953896928746E-2</v>
      </c>
      <c r="S26" s="2">
        <v>1353.008677610776</v>
      </c>
      <c r="T26" s="7">
        <v>14784.55101292321</v>
      </c>
      <c r="U26" t="s">
        <v>55</v>
      </c>
      <c r="V26" s="5">
        <v>0.50728628779083207</v>
      </c>
      <c r="W26">
        <f t="shared" si="0"/>
        <v>14784.551012923208</v>
      </c>
      <c r="X26">
        <f t="shared" si="1"/>
        <v>1.0000000000000002</v>
      </c>
      <c r="Y26">
        <f t="shared" si="2"/>
        <v>0.99999999999999989</v>
      </c>
    </row>
    <row r="27" spans="1:25" x14ac:dyDescent="0.25">
      <c r="A27" t="s">
        <v>22</v>
      </c>
      <c r="B27" s="9">
        <v>45819</v>
      </c>
      <c r="C27" s="2">
        <v>53.319465637207031</v>
      </c>
      <c r="D27" s="3">
        <v>6.7473010795681729E-2</v>
      </c>
      <c r="E27" s="4">
        <v>0.93870055153320153</v>
      </c>
      <c r="F27" s="5">
        <v>9.3870055153320153E-3</v>
      </c>
      <c r="G27" s="4">
        <v>14.901409289496129</v>
      </c>
      <c r="H27" s="5">
        <v>0.14901409289496129</v>
      </c>
      <c r="I27" s="3">
        <v>0.12</v>
      </c>
      <c r="J27" s="2">
        <v>11290.81186502896</v>
      </c>
      <c r="K27" s="2">
        <v>1505441.582003861</v>
      </c>
      <c r="L27" s="6">
        <v>17.268675374221051</v>
      </c>
      <c r="M27" s="7">
        <v>1.488854043442513</v>
      </c>
      <c r="N27" s="6">
        <v>0.5005101180110183</v>
      </c>
      <c r="O27" s="2">
        <v>25876.612808815731</v>
      </c>
      <c r="P27" s="2">
        <v>2599.4989242062002</v>
      </c>
      <c r="Q27" s="2">
        <v>138603.89356316911</v>
      </c>
      <c r="R27" s="3">
        <v>9.2068596496900551E-2</v>
      </c>
      <c r="S27" s="2">
        <v>1301.07551332396</v>
      </c>
      <c r="T27" s="7">
        <v>14984.712056979621</v>
      </c>
      <c r="U27" t="s">
        <v>55</v>
      </c>
      <c r="V27" s="5">
        <v>0.5005101180110183</v>
      </c>
      <c r="W27">
        <f t="shared" si="0"/>
        <v>14984.712056979623</v>
      </c>
      <c r="X27">
        <f t="shared" si="1"/>
        <v>0.99999999999999989</v>
      </c>
      <c r="Y27">
        <f t="shared" si="2"/>
        <v>1.0000000000000002</v>
      </c>
    </row>
    <row r="28" spans="1:25" x14ac:dyDescent="0.25">
      <c r="A28" t="s">
        <v>22</v>
      </c>
      <c r="B28" s="9">
        <v>45820</v>
      </c>
      <c r="C28" s="2">
        <v>53.417350769042969</v>
      </c>
      <c r="D28" s="3">
        <v>6.7473010795681729E-2</v>
      </c>
      <c r="E28" s="4">
        <v>0.91685573054784231</v>
      </c>
      <c r="F28" s="5">
        <v>9.1685573054784229E-3</v>
      </c>
      <c r="G28" s="4">
        <v>14.554633506924221</v>
      </c>
      <c r="H28" s="5">
        <v>0.14554633506924219</v>
      </c>
      <c r="I28" s="3">
        <v>0.12</v>
      </c>
      <c r="J28" s="2">
        <v>11380.10131367037</v>
      </c>
      <c r="K28" s="2">
        <v>1517346.8418227159</v>
      </c>
      <c r="L28" s="6">
        <v>17.530687621790761</v>
      </c>
      <c r="M28" s="7">
        <v>1.4887072909385251</v>
      </c>
      <c r="N28" s="6">
        <v>0.48976004163281228</v>
      </c>
      <c r="O28" s="2">
        <v>26845.83183329711</v>
      </c>
      <c r="P28" s="2">
        <v>2696.5983874328731</v>
      </c>
      <c r="Q28" s="2">
        <v>144045.14194473741</v>
      </c>
      <c r="R28" s="3">
        <v>9.4932244872703492E-2</v>
      </c>
      <c r="S28" s="2">
        <v>1320.686138496098</v>
      </c>
      <c r="T28" s="7">
        <v>15313.62169726164</v>
      </c>
      <c r="U28" t="s">
        <v>55</v>
      </c>
      <c r="V28" s="5">
        <v>0.48976004163281239</v>
      </c>
      <c r="W28">
        <f t="shared" si="0"/>
        <v>15313.621697261642</v>
      </c>
      <c r="X28">
        <f t="shared" si="1"/>
        <v>0.99999999999999989</v>
      </c>
      <c r="Y28">
        <f t="shared" si="2"/>
        <v>1</v>
      </c>
    </row>
    <row r="29" spans="1:25" x14ac:dyDescent="0.25">
      <c r="A29" t="s">
        <v>22</v>
      </c>
      <c r="B29" s="9">
        <v>45821</v>
      </c>
      <c r="C29" s="2">
        <v>52.820232391357422</v>
      </c>
      <c r="D29" s="3">
        <v>6.7473010795681729E-2</v>
      </c>
      <c r="E29" s="4">
        <v>0.9481617887080932</v>
      </c>
      <c r="F29" s="5">
        <v>9.4816178870809325E-3</v>
      </c>
      <c r="G29" s="4">
        <v>15.05160177345471</v>
      </c>
      <c r="H29" s="5">
        <v>0.15051601773454709</v>
      </c>
      <c r="I29" s="3">
        <v>0.12</v>
      </c>
      <c r="J29" s="2">
        <v>11261.071951287089</v>
      </c>
      <c r="K29" s="2">
        <v>1501476.260171612</v>
      </c>
      <c r="L29" s="6">
        <v>12.76751580615743</v>
      </c>
      <c r="M29" s="7">
        <v>1.4885628678393621</v>
      </c>
      <c r="N29" s="6">
        <v>0.50082126024166618</v>
      </c>
      <c r="O29" s="2">
        <v>19119.86893287527</v>
      </c>
      <c r="P29" s="2">
        <v>1920.3579247256789</v>
      </c>
      <c r="Q29" s="2">
        <v>101433.75185859521</v>
      </c>
      <c r="R29" s="3">
        <v>6.7556014403452408E-2</v>
      </c>
      <c r="S29" s="2">
        <v>961.75607597618546</v>
      </c>
      <c r="T29" s="7">
        <v>14975.4025944924</v>
      </c>
      <c r="U29" t="s">
        <v>55</v>
      </c>
      <c r="V29" s="5">
        <v>0.50082126024166618</v>
      </c>
      <c r="W29">
        <f t="shared" si="0"/>
        <v>14975.402594492398</v>
      </c>
      <c r="X29">
        <f t="shared" si="1"/>
        <v>1.0000000000000002</v>
      </c>
      <c r="Y29">
        <f t="shared" si="2"/>
        <v>0.99999999999999989</v>
      </c>
    </row>
    <row r="30" spans="1:25" x14ac:dyDescent="0.25">
      <c r="A30" t="s">
        <v>22</v>
      </c>
      <c r="B30" s="9">
        <v>45824</v>
      </c>
      <c r="C30" s="2">
        <v>53.182422637939453</v>
      </c>
      <c r="D30" s="3">
        <v>6.7473010795681729E-2</v>
      </c>
      <c r="E30" s="4">
        <v>0.92741368361684662</v>
      </c>
      <c r="F30" s="5">
        <v>9.2741368361684666E-3</v>
      </c>
      <c r="G30" s="4">
        <v>14.72223581597108</v>
      </c>
      <c r="H30" s="5">
        <v>0.1472223581597108</v>
      </c>
      <c r="I30" s="3">
        <v>0.12</v>
      </c>
      <c r="J30" s="2">
        <v>11303.27252402902</v>
      </c>
      <c r="K30" s="2">
        <v>1507103.0032038691</v>
      </c>
      <c r="L30" s="6">
        <v>13.77336720095955</v>
      </c>
      <c r="M30" s="7">
        <v>1.4884207371703451</v>
      </c>
      <c r="N30" s="6">
        <v>0.49322106482319411</v>
      </c>
      <c r="O30" s="2">
        <v>20944.006932110031</v>
      </c>
      <c r="P30" s="2">
        <v>2103.3695132308289</v>
      </c>
      <c r="Q30" s="2">
        <v>111862.2864163989</v>
      </c>
      <c r="R30" s="3">
        <v>7.4223384983373344E-2</v>
      </c>
      <c r="S30" s="2">
        <v>1037.4261510323529</v>
      </c>
      <c r="T30" s="7">
        <v>15206.163189093601</v>
      </c>
      <c r="U30" t="s">
        <v>55</v>
      </c>
      <c r="V30" s="5">
        <v>0.493221064823194</v>
      </c>
      <c r="W30">
        <f t="shared" si="0"/>
        <v>15206.163189093597</v>
      </c>
      <c r="X30">
        <f t="shared" si="1"/>
        <v>1.0000000000000002</v>
      </c>
      <c r="Y30">
        <f t="shared" si="2"/>
        <v>0.99999999999999989</v>
      </c>
    </row>
    <row r="31" spans="1:25" x14ac:dyDescent="0.25">
      <c r="A31" t="s">
        <v>22</v>
      </c>
      <c r="B31" s="9">
        <v>45825</v>
      </c>
      <c r="C31" s="2">
        <v>52.575515747070313</v>
      </c>
      <c r="D31" s="3">
        <v>6.7473010795681729E-2</v>
      </c>
      <c r="E31" s="4">
        <v>0.95664478668504915</v>
      </c>
      <c r="F31" s="5">
        <v>9.5664478668504912E-3</v>
      </c>
      <c r="G31" s="4">
        <v>15.186265191570451</v>
      </c>
      <c r="H31" s="5">
        <v>0.1518626519157045</v>
      </c>
      <c r="I31" s="3">
        <v>0.12</v>
      </c>
      <c r="J31" s="2">
        <v>11211.69671328517</v>
      </c>
      <c r="K31" s="2">
        <v>1494892.89510469</v>
      </c>
      <c r="L31" s="6">
        <v>7.3154240743608998</v>
      </c>
      <c r="M31" s="7">
        <v>1.488280862543693</v>
      </c>
      <c r="N31" s="6">
        <v>0.5029609304671252</v>
      </c>
      <c r="O31" s="2">
        <v>10908.537270827421</v>
      </c>
      <c r="P31" s="2">
        <v>1095.4221211146059</v>
      </c>
      <c r="Q31" s="2">
        <v>57592.382978350142</v>
      </c>
      <c r="R31" s="3">
        <v>3.8526093184968177E-2</v>
      </c>
      <c r="S31" s="2">
        <v>550.95452929007422</v>
      </c>
      <c r="T31" s="7">
        <v>14911.695015822341</v>
      </c>
      <c r="U31" t="s">
        <v>55</v>
      </c>
      <c r="V31" s="5">
        <v>0.5029609304671252</v>
      </c>
      <c r="W31">
        <f t="shared" si="0"/>
        <v>14911.695015822344</v>
      </c>
      <c r="X31">
        <f t="shared" si="1"/>
        <v>0.99999999999999978</v>
      </c>
      <c r="Y31">
        <f t="shared" si="2"/>
        <v>1.0000000000000002</v>
      </c>
    </row>
    <row r="32" spans="1:25" x14ac:dyDescent="0.25">
      <c r="A32" t="s">
        <v>22</v>
      </c>
      <c r="B32" s="9">
        <v>45826</v>
      </c>
      <c r="C32" s="2">
        <v>52.614669799804688</v>
      </c>
      <c r="D32" s="3">
        <v>6.7473010795681729E-2</v>
      </c>
      <c r="E32" s="4">
        <v>0.93561790785256604</v>
      </c>
      <c r="F32" s="5">
        <v>9.3561790785256609E-3</v>
      </c>
      <c r="G32" s="4">
        <v>14.85247383813862</v>
      </c>
      <c r="H32" s="5">
        <v>0.14852473838138619</v>
      </c>
      <c r="I32" s="3">
        <v>0.12</v>
      </c>
      <c r="J32" s="2">
        <v>11211.59657155407</v>
      </c>
      <c r="K32" s="2">
        <v>1494879.5428738759</v>
      </c>
      <c r="L32" s="6">
        <v>5.3503271490865876</v>
      </c>
      <c r="M32" s="7">
        <v>1.4881432081492101</v>
      </c>
      <c r="N32" s="6">
        <v>0.49227227280446861</v>
      </c>
      <c r="O32" s="2">
        <v>8151.4754811486418</v>
      </c>
      <c r="P32" s="2">
        <v>818.48559974223929</v>
      </c>
      <c r="Q32" s="2">
        <v>43064.349566333018</v>
      </c>
      <c r="R32" s="3">
        <v>2.8807906143088081E-2</v>
      </c>
      <c r="S32" s="2">
        <v>402.91776644284067</v>
      </c>
      <c r="T32" s="7">
        <v>15235.471129163139</v>
      </c>
      <c r="U32" t="s">
        <v>55</v>
      </c>
      <c r="V32" s="5">
        <v>0.49227227280446861</v>
      </c>
      <c r="W32">
        <f t="shared" si="0"/>
        <v>15235.471129163136</v>
      </c>
      <c r="X32">
        <f t="shared" si="1"/>
        <v>1.0000000000000002</v>
      </c>
      <c r="Y32">
        <f t="shared" si="2"/>
        <v>0.99999999999999967</v>
      </c>
    </row>
    <row r="33" spans="1:25" x14ac:dyDescent="0.25">
      <c r="A33" t="s">
        <v>22</v>
      </c>
      <c r="B33" s="9">
        <v>45827</v>
      </c>
      <c r="D33" s="3">
        <v>6.7473010795681729E-2</v>
      </c>
      <c r="E33" s="4">
        <v>0.93562741637745928</v>
      </c>
      <c r="F33" s="5">
        <v>9.3562741637745923E-3</v>
      </c>
      <c r="G33" s="4">
        <v>14.85262478129183</v>
      </c>
      <c r="H33" s="5">
        <v>0.14852624781291829</v>
      </c>
      <c r="I33" s="3">
        <v>0.12</v>
      </c>
      <c r="J33" s="2">
        <v>11211.453858359429</v>
      </c>
      <c r="K33" s="2">
        <v>1494860.514447924</v>
      </c>
      <c r="L33" s="6">
        <v>5.3492018953338256</v>
      </c>
      <c r="M33" s="7">
        <v>1.4880077387451149</v>
      </c>
      <c r="O33" s="2">
        <v>8149.6782802548023</v>
      </c>
      <c r="P33" s="2">
        <v>818.23065132687668</v>
      </c>
      <c r="T33" s="7">
        <v>15235.316295247459</v>
      </c>
      <c r="U33" t="s">
        <v>55</v>
      </c>
      <c r="V33" s="5">
        <v>0.49227727568344393</v>
      </c>
      <c r="W33" t="e">
        <f t="shared" ref="W33:W96" si="3">(1000000*I33/16)/(C33*F33)</f>
        <v>#DIV/0!</v>
      </c>
      <c r="X33" t="e">
        <f t="shared" ref="X33:X96" si="4">T33/W33</f>
        <v>#DIV/0!</v>
      </c>
      <c r="Y33">
        <f t="shared" si="2"/>
        <v>1.0000000000000002</v>
      </c>
    </row>
    <row r="34" spans="1:25" x14ac:dyDescent="0.25">
      <c r="A34" t="s">
        <v>22</v>
      </c>
      <c r="B34" s="9">
        <v>45828</v>
      </c>
      <c r="C34" s="2">
        <v>52.046920776367188</v>
      </c>
      <c r="D34" s="3">
        <v>6.7473010795681729E-2</v>
      </c>
      <c r="E34" s="4">
        <v>0.9458432213221023</v>
      </c>
      <c r="F34" s="5">
        <v>9.4584322132210234E-3</v>
      </c>
      <c r="G34" s="4">
        <v>15.014795657247049</v>
      </c>
      <c r="H34" s="5">
        <v>0.15014795657247049</v>
      </c>
      <c r="I34" s="3">
        <v>0.12</v>
      </c>
      <c r="J34" s="2">
        <v>11199.953935458811</v>
      </c>
      <c r="K34" s="2">
        <v>1493327.1913945079</v>
      </c>
      <c r="L34" s="6">
        <v>2.7427796457855012</v>
      </c>
      <c r="M34" s="7">
        <v>1.4878744196490219</v>
      </c>
      <c r="N34" s="6">
        <v>0.49228227207015401</v>
      </c>
      <c r="O34" s="2">
        <v>4178.6691316114993</v>
      </c>
      <c r="P34" s="2">
        <v>419.50230544698911</v>
      </c>
      <c r="Q34" s="2">
        <v>21833.803257102831</v>
      </c>
      <c r="R34" s="3">
        <v>1.462091052980416E-2</v>
      </c>
      <c r="S34" s="2">
        <v>206.51354806411149</v>
      </c>
      <c r="T34" s="7">
        <v>15235.16166540158</v>
      </c>
      <c r="U34" t="s">
        <v>55</v>
      </c>
      <c r="V34" s="5">
        <v>0.49228227207015401</v>
      </c>
      <c r="W34">
        <f t="shared" si="3"/>
        <v>15235.16166540158</v>
      </c>
      <c r="X34">
        <f t="shared" si="4"/>
        <v>1</v>
      </c>
      <c r="Y34">
        <f t="shared" si="2"/>
        <v>0.99999999999999989</v>
      </c>
    </row>
    <row r="35" spans="1:25" x14ac:dyDescent="0.25">
      <c r="A35" t="s">
        <v>22</v>
      </c>
      <c r="B35" s="9">
        <v>45831</v>
      </c>
      <c r="C35" s="2">
        <v>52.5950927734375</v>
      </c>
      <c r="D35" s="3">
        <v>6.7473010795681729E-2</v>
      </c>
      <c r="E35" s="4">
        <v>0.93474652380935941</v>
      </c>
      <c r="F35" s="5">
        <v>9.3474652380935944E-3</v>
      </c>
      <c r="G35" s="4">
        <v>14.838641045290091</v>
      </c>
      <c r="H35" s="5">
        <v>0.14838641045290091</v>
      </c>
      <c r="I35" s="3">
        <v>0.12</v>
      </c>
      <c r="J35" s="2">
        <v>11251.868419895611</v>
      </c>
      <c r="K35" s="2">
        <v>1500249.122652747</v>
      </c>
      <c r="L35" s="6">
        <v>5.8899817698113228</v>
      </c>
      <c r="M35" s="7">
        <v>1.4877432167290581</v>
      </c>
      <c r="N35" s="6">
        <v>0.49163080139401472</v>
      </c>
      <c r="O35" s="2">
        <v>8985.3734038484781</v>
      </c>
      <c r="P35" s="2">
        <v>901.9743726274512</v>
      </c>
      <c r="Q35" s="2">
        <v>47439.425807603882</v>
      </c>
      <c r="R35" s="3">
        <v>3.162103219478727E-2</v>
      </c>
      <c r="S35" s="2">
        <v>443.43838365169739</v>
      </c>
      <c r="T35" s="7">
        <v>15255.35010974459</v>
      </c>
      <c r="U35" t="s">
        <v>55</v>
      </c>
      <c r="V35" s="5">
        <v>0.4916308013940146</v>
      </c>
      <c r="W35">
        <f t="shared" si="3"/>
        <v>15255.350109744586</v>
      </c>
      <c r="X35">
        <f t="shared" si="4"/>
        <v>1.0000000000000002</v>
      </c>
      <c r="Y35">
        <f t="shared" si="2"/>
        <v>0.99999999999999989</v>
      </c>
    </row>
    <row r="36" spans="1:25" x14ac:dyDescent="0.25">
      <c r="A36" t="s">
        <v>22</v>
      </c>
      <c r="B36" s="9">
        <v>45832</v>
      </c>
      <c r="C36" s="2">
        <v>53.261978149414063</v>
      </c>
      <c r="D36" s="3">
        <v>6.7473010795681729E-2</v>
      </c>
      <c r="E36" s="4">
        <v>0.92951660446579654</v>
      </c>
      <c r="F36" s="5">
        <v>9.2951660446579654E-3</v>
      </c>
      <c r="G36" s="4">
        <v>14.755618649530129</v>
      </c>
      <c r="H36" s="5">
        <v>0.14755618649530131</v>
      </c>
      <c r="I36" s="3">
        <v>0.12</v>
      </c>
      <c r="J36" s="2">
        <v>11310.768814258099</v>
      </c>
      <c r="K36" s="2">
        <v>1508102.508567747</v>
      </c>
      <c r="L36" s="6">
        <v>11.74572220740375</v>
      </c>
      <c r="M36" s="7">
        <v>1.487614096395125</v>
      </c>
      <c r="N36" s="6">
        <v>0.4950789307657481</v>
      </c>
      <c r="O36" s="2">
        <v>17793.711483393799</v>
      </c>
      <c r="P36" s="2">
        <v>1786.0224730477721</v>
      </c>
      <c r="Q36" s="2">
        <v>95127.089933832875</v>
      </c>
      <c r="R36" s="3">
        <v>6.3077336847728996E-2</v>
      </c>
      <c r="S36" s="2">
        <v>884.22209628008784</v>
      </c>
      <c r="T36" s="7">
        <v>15149.09953529956</v>
      </c>
      <c r="U36" t="s">
        <v>55</v>
      </c>
      <c r="V36" s="5">
        <v>0.49507893076574799</v>
      </c>
      <c r="W36">
        <f t="shared" si="3"/>
        <v>15149.099535299565</v>
      </c>
      <c r="X36">
        <f t="shared" si="4"/>
        <v>0.99999999999999967</v>
      </c>
      <c r="Y36">
        <f t="shared" si="2"/>
        <v>1.0000000000000007</v>
      </c>
    </row>
    <row r="37" spans="1:25" x14ac:dyDescent="0.25">
      <c r="A37" t="s">
        <v>22</v>
      </c>
      <c r="B37" s="9">
        <v>45833</v>
      </c>
      <c r="C37" s="2">
        <v>53.341018676757813</v>
      </c>
      <c r="D37" s="3">
        <v>6.7473010795681729E-2</v>
      </c>
      <c r="E37" s="4">
        <v>0.90701186011781609</v>
      </c>
      <c r="F37" s="5">
        <v>9.0701186011781613E-3</v>
      </c>
      <c r="G37" s="4">
        <v>14.39836690834707</v>
      </c>
      <c r="H37" s="5">
        <v>0.14398366908347071</v>
      </c>
      <c r="I37" s="3">
        <v>0.12</v>
      </c>
      <c r="J37" s="2">
        <v>11291.2382946005</v>
      </c>
      <c r="K37" s="2">
        <v>1505498.4392800671</v>
      </c>
      <c r="L37" s="6">
        <v>14.448217924157611</v>
      </c>
      <c r="M37" s="7">
        <v>1.487487025590301</v>
      </c>
      <c r="N37" s="6">
        <v>0.48380936570585281</v>
      </c>
      <c r="O37" s="2">
        <v>22397.589239118621</v>
      </c>
      <c r="P37" s="2">
        <v>2247.939153707101</v>
      </c>
      <c r="Q37" s="2">
        <v>119907.3643821056</v>
      </c>
      <c r="R37" s="3">
        <v>7.9646289397314565E-2</v>
      </c>
      <c r="S37" s="2">
        <v>1087.5740161003839</v>
      </c>
      <c r="T37" s="7">
        <v>15501.97356981275</v>
      </c>
      <c r="U37" t="s">
        <v>55</v>
      </c>
      <c r="V37" s="5">
        <v>0.48380936570585281</v>
      </c>
      <c r="W37">
        <f t="shared" si="3"/>
        <v>15501.97356981275</v>
      </c>
      <c r="X37">
        <f t="shared" si="4"/>
        <v>1</v>
      </c>
      <c r="Y37">
        <f t="shared" si="2"/>
        <v>0.99999999999999989</v>
      </c>
    </row>
    <row r="38" spans="1:25" x14ac:dyDescent="0.25">
      <c r="A38" t="s">
        <v>22</v>
      </c>
      <c r="B38" s="9">
        <v>45834</v>
      </c>
      <c r="C38" s="2">
        <v>53.933807373046882</v>
      </c>
      <c r="D38" s="3">
        <v>6.7473010795681729E-2</v>
      </c>
      <c r="E38" s="4">
        <v>0.89512909416230668</v>
      </c>
      <c r="F38" s="5">
        <v>8.9512909416230666E-3</v>
      </c>
      <c r="G38" s="4">
        <v>14.20973384671189</v>
      </c>
      <c r="H38" s="5">
        <v>0.14209733846711889</v>
      </c>
      <c r="I38" s="3">
        <v>0.12</v>
      </c>
      <c r="J38" s="2">
        <v>11374.30242335237</v>
      </c>
      <c r="K38" s="2">
        <v>1516573.6564469819</v>
      </c>
      <c r="L38" s="6">
        <v>16.458823290966869</v>
      </c>
      <c r="M38" s="7">
        <v>1.4873619717823801</v>
      </c>
      <c r="N38" s="6">
        <v>0.48277720138559788</v>
      </c>
      <c r="O38" s="2">
        <v>25568.973499156211</v>
      </c>
      <c r="P38" s="2">
        <v>2566.0201136926212</v>
      </c>
      <c r="Q38" s="2">
        <v>138395.23452726169</v>
      </c>
      <c r="R38" s="3">
        <v>9.1255201446326734E-2</v>
      </c>
      <c r="S38" s="2">
        <v>1238.8160091876771</v>
      </c>
      <c r="T38" s="7">
        <v>15535.11636107624</v>
      </c>
      <c r="U38" t="s">
        <v>55</v>
      </c>
      <c r="V38" s="5">
        <v>0.48277720138559788</v>
      </c>
      <c r="W38">
        <f t="shared" si="3"/>
        <v>15535.116361076238</v>
      </c>
      <c r="X38">
        <f t="shared" si="4"/>
        <v>1.0000000000000002</v>
      </c>
      <c r="Y38">
        <f t="shared" si="2"/>
        <v>1</v>
      </c>
    </row>
    <row r="39" spans="1:25" x14ac:dyDescent="0.25">
      <c r="A39" t="s">
        <v>22</v>
      </c>
      <c r="B39" s="9">
        <v>45835</v>
      </c>
      <c r="C39" s="2">
        <v>53.489215850830078</v>
      </c>
      <c r="D39" s="3">
        <v>6.7473010795681729E-2</v>
      </c>
      <c r="E39" s="4">
        <v>0.91217704533642618</v>
      </c>
      <c r="F39" s="5">
        <v>9.1217704533642623E-3</v>
      </c>
      <c r="G39" s="4">
        <v>14.480361681731249</v>
      </c>
      <c r="H39" s="5">
        <v>0.14480361681731249</v>
      </c>
      <c r="I39" s="3">
        <v>0.12</v>
      </c>
      <c r="J39" s="2">
        <v>11355.400606645249</v>
      </c>
      <c r="K39" s="2">
        <v>1514053.4142193659</v>
      </c>
      <c r="L39" s="6">
        <v>14.77894841459841</v>
      </c>
      <c r="M39" s="7">
        <v>1.4872389029555371</v>
      </c>
      <c r="N39" s="6">
        <v>0.48791634872172518</v>
      </c>
      <c r="O39" s="2">
        <v>22717.441913942719</v>
      </c>
      <c r="P39" s="2">
        <v>2279.6609144865438</v>
      </c>
      <c r="Q39" s="2">
        <v>121937.27472167141</v>
      </c>
      <c r="R39" s="3">
        <v>8.0536970212864864E-2</v>
      </c>
      <c r="S39" s="2">
        <v>1112.2838297199039</v>
      </c>
      <c r="T39" s="7">
        <v>15371.4873864116</v>
      </c>
      <c r="U39" t="s">
        <v>55</v>
      </c>
      <c r="V39" s="5">
        <v>0.48791634872172518</v>
      </c>
      <c r="W39">
        <f t="shared" si="3"/>
        <v>15371.487386411596</v>
      </c>
      <c r="X39">
        <f t="shared" si="4"/>
        <v>1.0000000000000002</v>
      </c>
      <c r="Y39">
        <f t="shared" si="2"/>
        <v>0.99999999999999978</v>
      </c>
    </row>
    <row r="40" spans="1:25" x14ac:dyDescent="0.25">
      <c r="A40" t="s">
        <v>22</v>
      </c>
      <c r="B40" s="9">
        <v>45838</v>
      </c>
      <c r="C40" s="2">
        <v>53.844886779785163</v>
      </c>
      <c r="D40" s="3">
        <v>6.7473010795681729E-2</v>
      </c>
      <c r="E40" s="4">
        <v>0.89062058137825384</v>
      </c>
      <c r="F40" s="5">
        <v>8.9062058137825383E-3</v>
      </c>
      <c r="G40" s="4">
        <v>14.13816342505574</v>
      </c>
      <c r="H40" s="5">
        <v>0.14138163425055739</v>
      </c>
      <c r="I40" s="3">
        <v>0.12</v>
      </c>
      <c r="J40" s="2">
        <v>11453.77531950497</v>
      </c>
      <c r="K40" s="2">
        <v>1527170.0426006629</v>
      </c>
      <c r="L40" s="6">
        <v>16.22301793806551</v>
      </c>
      <c r="M40" s="7">
        <v>1.487117787602136</v>
      </c>
      <c r="N40" s="6">
        <v>0.47955364368058517</v>
      </c>
      <c r="O40" s="2">
        <v>25372.059234427059</v>
      </c>
      <c r="P40" s="2">
        <v>2545.8404040686132</v>
      </c>
      <c r="Q40" s="2">
        <v>137080.48831647701</v>
      </c>
      <c r="R40" s="3">
        <v>8.9761116635734009E-2</v>
      </c>
      <c r="S40" s="2">
        <v>1220.8670420003559</v>
      </c>
      <c r="T40" s="7">
        <v>15639.54335209994</v>
      </c>
      <c r="U40" t="s">
        <v>55</v>
      </c>
      <c r="V40" s="5">
        <v>0.47955364368058517</v>
      </c>
      <c r="W40">
        <f t="shared" si="3"/>
        <v>15639.543352099941</v>
      </c>
      <c r="X40">
        <f t="shared" si="4"/>
        <v>0.99999999999999989</v>
      </c>
      <c r="Y40">
        <f t="shared" si="2"/>
        <v>1.0000000000000002</v>
      </c>
    </row>
    <row r="41" spans="1:25" x14ac:dyDescent="0.25">
      <c r="A41" t="s">
        <v>22</v>
      </c>
      <c r="B41" s="9">
        <v>45839</v>
      </c>
      <c r="C41" s="2">
        <v>53.97332763671875</v>
      </c>
      <c r="D41" s="3">
        <v>6.7473010795681729E-2</v>
      </c>
      <c r="E41" s="4">
        <v>0.86891010137338576</v>
      </c>
      <c r="F41" s="5">
        <v>8.6891010137338572E-3</v>
      </c>
      <c r="G41" s="4">
        <v>13.793520239435409</v>
      </c>
      <c r="H41" s="5">
        <v>0.13793520239435411</v>
      </c>
      <c r="I41" s="3">
        <v>0.12</v>
      </c>
      <c r="J41" s="2">
        <v>11472.799070400501</v>
      </c>
      <c r="K41" s="2">
        <v>1529706.5427200671</v>
      </c>
      <c r="L41" s="6">
        <v>17.384180681804601</v>
      </c>
      <c r="M41" s="7">
        <v>1.486998594714662</v>
      </c>
      <c r="N41" s="6">
        <v>0.46897969588280253</v>
      </c>
      <c r="O41" s="2">
        <v>27801.066071337271</v>
      </c>
      <c r="P41" s="2">
        <v>2789.344129502972</v>
      </c>
      <c r="Q41" s="2">
        <v>150550.1845932219</v>
      </c>
      <c r="R41" s="3">
        <v>9.8417690183582013E-2</v>
      </c>
      <c r="S41" s="2">
        <v>1308.1457615667839</v>
      </c>
      <c r="T41" s="7">
        <v>15992.16355386575</v>
      </c>
      <c r="U41" t="s">
        <v>55</v>
      </c>
      <c r="V41" s="5">
        <v>0.46897969588280253</v>
      </c>
      <c r="W41">
        <f t="shared" si="3"/>
        <v>15992.163553865754</v>
      </c>
      <c r="X41">
        <f t="shared" si="4"/>
        <v>0.99999999999999978</v>
      </c>
      <c r="Y41">
        <f t="shared" si="2"/>
        <v>1.0000000000000002</v>
      </c>
    </row>
    <row r="42" spans="1:25" x14ac:dyDescent="0.25">
      <c r="A42" t="s">
        <v>22</v>
      </c>
      <c r="B42" s="9">
        <v>45840</v>
      </c>
      <c r="C42" s="2">
        <v>54.309238433837891</v>
      </c>
      <c r="D42" s="3">
        <v>6.7473010795681729E-2</v>
      </c>
      <c r="E42" s="4">
        <v>0.84836982503296476</v>
      </c>
      <c r="F42" s="5">
        <v>8.4836982503296472E-3</v>
      </c>
      <c r="G42" s="4">
        <v>13.467453461091621</v>
      </c>
      <c r="H42" s="5">
        <v>0.13467453461091619</v>
      </c>
      <c r="I42" s="3">
        <v>0.12</v>
      </c>
      <c r="J42" s="2">
        <v>11472.531288451421</v>
      </c>
      <c r="K42" s="2">
        <v>1529670.8384601891</v>
      </c>
      <c r="L42" s="6">
        <v>18.155437105348511</v>
      </c>
      <c r="M42" s="7">
        <v>1.486881293777782</v>
      </c>
      <c r="N42" s="6">
        <v>0.46074319107788608</v>
      </c>
      <c r="O42" s="2">
        <v>29553.50853293364</v>
      </c>
      <c r="P42" s="2">
        <v>2964.9367580373082</v>
      </c>
      <c r="Q42" s="2">
        <v>161023.45733349849</v>
      </c>
      <c r="R42" s="3">
        <v>0.1052667366631565</v>
      </c>
      <c r="S42" s="2">
        <v>1366.074423242231</v>
      </c>
      <c r="T42" s="7">
        <v>16278.048477404771</v>
      </c>
      <c r="U42" t="s">
        <v>55</v>
      </c>
      <c r="V42" s="5">
        <v>0.46074319107788608</v>
      </c>
      <c r="W42">
        <f t="shared" si="3"/>
        <v>16278.048477404771</v>
      </c>
      <c r="X42">
        <f t="shared" si="4"/>
        <v>1</v>
      </c>
      <c r="Y42">
        <f t="shared" si="2"/>
        <v>1.0000000000000002</v>
      </c>
    </row>
    <row r="43" spans="1:25" x14ac:dyDescent="0.25">
      <c r="A43" t="s">
        <v>22</v>
      </c>
      <c r="B43" s="9">
        <v>45841</v>
      </c>
      <c r="C43" s="2">
        <v>54.289478302001953</v>
      </c>
      <c r="D43" s="3">
        <v>6.7473010795681729E-2</v>
      </c>
      <c r="E43" s="4">
        <v>0.83283530445230602</v>
      </c>
      <c r="F43" s="5">
        <v>8.3283530445230607E-3</v>
      </c>
      <c r="G43" s="4">
        <v>13.220850591933401</v>
      </c>
      <c r="H43" s="5">
        <v>0.132208505919334</v>
      </c>
      <c r="I43" s="3">
        <v>0.12</v>
      </c>
      <c r="J43" s="2">
        <v>11493.69454475796</v>
      </c>
      <c r="K43" s="2">
        <v>1532492.605967728</v>
      </c>
      <c r="L43" s="6">
        <v>18.455260997126601</v>
      </c>
      <c r="M43" s="7">
        <v>1.486765854760536</v>
      </c>
      <c r="N43" s="6">
        <v>0.4521419419020466</v>
      </c>
      <c r="O43" s="2">
        <v>30613.054143169062</v>
      </c>
      <c r="P43" s="2">
        <v>3070.9965450873442</v>
      </c>
      <c r="Q43" s="2">
        <v>166722.80030004229</v>
      </c>
      <c r="R43" s="3">
        <v>0.10879191172003159</v>
      </c>
      <c r="S43" s="2">
        <v>1388.5263414702681</v>
      </c>
      <c r="T43" s="7">
        <v>16587.711302449399</v>
      </c>
      <c r="U43" t="s">
        <v>55</v>
      </c>
      <c r="V43" s="5">
        <v>0.4521419419020466</v>
      </c>
      <c r="W43">
        <f t="shared" si="3"/>
        <v>16587.711302449403</v>
      </c>
      <c r="X43">
        <f t="shared" si="4"/>
        <v>0.99999999999999978</v>
      </c>
      <c r="Y43">
        <f t="shared" si="2"/>
        <v>1.0000000000000002</v>
      </c>
    </row>
    <row r="44" spans="1:25" x14ac:dyDescent="0.25">
      <c r="A44" t="s">
        <v>22</v>
      </c>
      <c r="B44" s="9">
        <v>45842</v>
      </c>
      <c r="D44" s="3">
        <v>6.7473010795681729E-2</v>
      </c>
      <c r="E44" s="4">
        <v>0.8328116616366853</v>
      </c>
      <c r="F44" s="5">
        <v>8.3281166163668534E-3</v>
      </c>
      <c r="G44" s="4">
        <v>13.220475273870839</v>
      </c>
      <c r="H44" s="5">
        <v>0.13220475273870841</v>
      </c>
      <c r="I44" s="3">
        <v>0.12</v>
      </c>
      <c r="J44" s="2">
        <v>11493.607846543629</v>
      </c>
      <c r="K44" s="2">
        <v>1532481.046205817</v>
      </c>
      <c r="L44" s="6">
        <v>18.451058069489029</v>
      </c>
      <c r="M44" s="7">
        <v>1.486652248108643</v>
      </c>
      <c r="O44" s="2">
        <v>30606.951328822921</v>
      </c>
      <c r="P44" s="2">
        <v>3070.149717693238</v>
      </c>
      <c r="T44" s="7">
        <v>16588.182213482429</v>
      </c>
      <c r="U44" t="s">
        <v>55</v>
      </c>
      <c r="V44" s="5">
        <v>0.45212910634079018</v>
      </c>
      <c r="W44" t="e">
        <f t="shared" si="3"/>
        <v>#DIV/0!</v>
      </c>
      <c r="X44" t="e">
        <f t="shared" si="4"/>
        <v>#DIV/0!</v>
      </c>
      <c r="Y44">
        <f t="shared" si="2"/>
        <v>0.99999999999999978</v>
      </c>
    </row>
    <row r="45" spans="1:25" x14ac:dyDescent="0.25">
      <c r="A45" t="s">
        <v>22</v>
      </c>
      <c r="B45" s="9">
        <v>45845</v>
      </c>
      <c r="C45" s="2">
        <v>53.311378479003913</v>
      </c>
      <c r="D45" s="3">
        <v>6.7473010795681729E-2</v>
      </c>
      <c r="E45" s="4">
        <v>0.84806714862768406</v>
      </c>
      <c r="F45" s="5">
        <v>8.4806714862768404E-3</v>
      </c>
      <c r="G45" s="4">
        <v>13.462648622115029</v>
      </c>
      <c r="H45" s="5">
        <v>0.13462648622115031</v>
      </c>
      <c r="I45" s="3">
        <v>0.12</v>
      </c>
      <c r="J45" s="2">
        <v>11345.62805807682</v>
      </c>
      <c r="K45" s="2">
        <v>1512750.407743576</v>
      </c>
      <c r="L45" s="6">
        <v>7.3032631728222457</v>
      </c>
      <c r="M45" s="7">
        <v>1.4865404447369379</v>
      </c>
      <c r="N45" s="6">
        <v>0.45211628736100129</v>
      </c>
      <c r="O45" s="2">
        <v>12115.129520302169</v>
      </c>
      <c r="P45" s="2">
        <v>1215.1639611252119</v>
      </c>
      <c r="Q45" s="2">
        <v>64782.065845591758</v>
      </c>
      <c r="R45" s="3">
        <v>4.2824028018092507E-2</v>
      </c>
      <c r="S45" s="2">
        <v>549.3954186388188</v>
      </c>
      <c r="T45" s="7">
        <v>16588.652542861109</v>
      </c>
      <c r="U45" t="s">
        <v>55</v>
      </c>
      <c r="V45" s="5">
        <v>0.45211628736100129</v>
      </c>
      <c r="W45">
        <f t="shared" si="3"/>
        <v>16588.652542861113</v>
      </c>
      <c r="X45">
        <f t="shared" si="4"/>
        <v>0.99999999999999978</v>
      </c>
      <c r="Y45">
        <f t="shared" si="2"/>
        <v>1.0000000000000002</v>
      </c>
    </row>
    <row r="46" spans="1:25" x14ac:dyDescent="0.25">
      <c r="A46" t="s">
        <v>22</v>
      </c>
      <c r="B46" s="9">
        <v>45846</v>
      </c>
      <c r="C46" s="2">
        <v>53.696689605712891</v>
      </c>
      <c r="D46" s="3">
        <v>6.7473010795681729E-2</v>
      </c>
      <c r="E46" s="4">
        <v>0.82859582462596637</v>
      </c>
      <c r="F46" s="5">
        <v>8.2859582462596632E-3</v>
      </c>
      <c r="G46" s="4">
        <v>13.15355093608078</v>
      </c>
      <c r="H46" s="5">
        <v>0.1315355093608078</v>
      </c>
      <c r="I46" s="3">
        <v>0.12</v>
      </c>
      <c r="J46" s="2">
        <v>11345.818958213529</v>
      </c>
      <c r="K46" s="2">
        <v>1512775.8610951379</v>
      </c>
      <c r="L46" s="6">
        <v>8.8735451891719102</v>
      </c>
      <c r="M46" s="7">
        <v>1.486430416021927</v>
      </c>
      <c r="N46" s="6">
        <v>0.44492852803530231</v>
      </c>
      <c r="O46" s="2">
        <v>14957.81563224664</v>
      </c>
      <c r="P46" s="2">
        <v>1500.1781963644471</v>
      </c>
      <c r="Q46" s="2">
        <v>80554.602963439931</v>
      </c>
      <c r="R46" s="3">
        <v>5.3249529580095462E-2</v>
      </c>
      <c r="S46" s="2">
        <v>667.47207669908823</v>
      </c>
      <c r="T46" s="7">
        <v>16856.63994870862</v>
      </c>
      <c r="U46" t="s">
        <v>55</v>
      </c>
      <c r="V46" s="5">
        <v>0.44492852803530231</v>
      </c>
      <c r="W46">
        <f t="shared" si="3"/>
        <v>16856.639948708624</v>
      </c>
      <c r="X46">
        <f t="shared" si="4"/>
        <v>0.99999999999999978</v>
      </c>
      <c r="Y46">
        <f t="shared" si="2"/>
        <v>1</v>
      </c>
    </row>
    <row r="47" spans="1:25" x14ac:dyDescent="0.25">
      <c r="A47" t="s">
        <v>22</v>
      </c>
      <c r="B47" s="9">
        <v>45847</v>
      </c>
      <c r="C47" s="2">
        <v>53.864646911621087</v>
      </c>
      <c r="D47" s="3">
        <v>6.7473010795681729E-2</v>
      </c>
      <c r="E47" s="4">
        <v>0.80706372628866907</v>
      </c>
      <c r="F47" s="5">
        <v>8.0706372628866901E-3</v>
      </c>
      <c r="G47" s="4">
        <v>12.81173947164552</v>
      </c>
      <c r="H47" s="5">
        <v>0.1281173947164552</v>
      </c>
      <c r="I47" s="3">
        <v>0.12</v>
      </c>
      <c r="J47" s="2">
        <v>11405.96652409076</v>
      </c>
      <c r="K47" s="2">
        <v>1520795.536545435</v>
      </c>
      <c r="L47" s="6">
        <v>10.853806054417269</v>
      </c>
      <c r="M47" s="7">
        <v>1.486322133794457</v>
      </c>
      <c r="N47" s="6">
        <v>0.43472202651716357</v>
      </c>
      <c r="O47" s="2">
        <v>18725.424626008811</v>
      </c>
      <c r="P47" s="2">
        <v>1877.909719457394</v>
      </c>
      <c r="Q47" s="2">
        <v>101152.94397047391</v>
      </c>
      <c r="R47" s="3">
        <v>6.6513177833391113E-2</v>
      </c>
      <c r="S47" s="2">
        <v>816.36871885879646</v>
      </c>
      <c r="T47" s="7">
        <v>17252.403932893161</v>
      </c>
      <c r="U47" t="s">
        <v>55</v>
      </c>
      <c r="V47" s="5">
        <v>0.43472202651716357</v>
      </c>
      <c r="W47">
        <f t="shared" si="3"/>
        <v>17252.403932893165</v>
      </c>
      <c r="X47">
        <f t="shared" si="4"/>
        <v>0.99999999999999978</v>
      </c>
      <c r="Y47">
        <f t="shared" si="2"/>
        <v>1.0000000000000002</v>
      </c>
    </row>
    <row r="48" spans="1:25" x14ac:dyDescent="0.25">
      <c r="A48" t="s">
        <v>22</v>
      </c>
      <c r="B48" s="9">
        <v>45848</v>
      </c>
      <c r="C48" s="2">
        <v>54.289478302001953</v>
      </c>
      <c r="D48" s="3">
        <v>6.7473010795681729E-2</v>
      </c>
      <c r="E48" s="4">
        <v>0.79033256318798328</v>
      </c>
      <c r="F48" s="5">
        <v>7.9033256318798324E-3</v>
      </c>
      <c r="G48" s="4">
        <v>12.54614049138987</v>
      </c>
      <c r="H48" s="5">
        <v>0.12546140491389871</v>
      </c>
      <c r="I48" s="3">
        <v>0.12</v>
      </c>
      <c r="J48" s="2">
        <v>11408.1603560659</v>
      </c>
      <c r="K48" s="2">
        <v>1521088.047475453</v>
      </c>
      <c r="L48" s="6">
        <v>15.48004922252766</v>
      </c>
      <c r="M48" s="7">
        <v>1.4862155703325011</v>
      </c>
      <c r="N48" s="6">
        <v>0.42906742540559611</v>
      </c>
      <c r="O48" s="2">
        <v>27058.770322451812</v>
      </c>
      <c r="P48" s="2">
        <v>2713.4383139905431</v>
      </c>
      <c r="Q48" s="2">
        <v>147311.15047121031</v>
      </c>
      <c r="R48" s="3">
        <v>9.6845906268018048E-2</v>
      </c>
      <c r="S48" s="2">
        <v>1164.247991380824</v>
      </c>
      <c r="T48" s="7">
        <v>17479.770208400871</v>
      </c>
      <c r="U48" t="s">
        <v>55</v>
      </c>
      <c r="V48" s="5">
        <v>0.42906742540559611</v>
      </c>
      <c r="W48">
        <f t="shared" si="3"/>
        <v>17479.770208400867</v>
      </c>
      <c r="X48">
        <f t="shared" si="4"/>
        <v>1.0000000000000002</v>
      </c>
      <c r="Y48">
        <f t="shared" si="2"/>
        <v>0.99999999999999978</v>
      </c>
    </row>
    <row r="49" spans="1:25" x14ac:dyDescent="0.25">
      <c r="A49" t="s">
        <v>22</v>
      </c>
      <c r="B49" s="9">
        <v>45849</v>
      </c>
      <c r="C49" s="2">
        <v>54.111640930175781</v>
      </c>
      <c r="D49" s="3">
        <v>6.7473010795681729E-2</v>
      </c>
      <c r="E49" s="4">
        <v>0.78783077920220412</v>
      </c>
      <c r="F49" s="5">
        <v>7.878307792022041E-3</v>
      </c>
      <c r="G49" s="4">
        <v>12.506425901827621</v>
      </c>
      <c r="H49" s="5">
        <v>0.1250642590182762</v>
      </c>
      <c r="I49" s="3">
        <v>0.12</v>
      </c>
      <c r="J49" s="2">
        <v>11352.29831251513</v>
      </c>
      <c r="K49" s="2">
        <v>1513639.7750020181</v>
      </c>
      <c r="L49" s="6">
        <v>15.451993031836629</v>
      </c>
      <c r="M49" s="7">
        <v>1.4861106983540691</v>
      </c>
      <c r="N49" s="6">
        <v>0.42630816237930258</v>
      </c>
      <c r="O49" s="2">
        <v>27184.548166277669</v>
      </c>
      <c r="P49" s="2">
        <v>2725.858887008033</v>
      </c>
      <c r="Q49" s="2">
        <v>147500.69732010731</v>
      </c>
      <c r="R49" s="3">
        <v>9.7447688516186501E-2</v>
      </c>
      <c r="S49" s="2">
        <v>1162.0558930256859</v>
      </c>
      <c r="T49" s="7">
        <v>17592.907342287672</v>
      </c>
      <c r="U49" t="s">
        <v>55</v>
      </c>
      <c r="V49" s="5">
        <v>0.42630816237930269</v>
      </c>
      <c r="W49">
        <f t="shared" si="3"/>
        <v>17592.907342287675</v>
      </c>
      <c r="X49">
        <f t="shared" si="4"/>
        <v>0.99999999999999978</v>
      </c>
      <c r="Y49">
        <f t="shared" si="2"/>
        <v>1</v>
      </c>
    </row>
    <row r="50" spans="1:25" x14ac:dyDescent="0.25">
      <c r="A50" t="s">
        <v>22</v>
      </c>
      <c r="B50" s="9">
        <v>45852</v>
      </c>
      <c r="C50" s="2">
        <v>54.220321655273438</v>
      </c>
      <c r="D50" s="3">
        <v>6.7473010795681729E-2</v>
      </c>
      <c r="E50" s="4">
        <v>0.76920698923494857</v>
      </c>
      <c r="F50" s="5">
        <v>7.6920698923494853E-3</v>
      </c>
      <c r="G50" s="4">
        <v>12.210782401490469</v>
      </c>
      <c r="H50" s="5">
        <v>0.12210782401490471</v>
      </c>
      <c r="I50" s="3">
        <v>0.12</v>
      </c>
      <c r="J50" s="2">
        <v>11358.429135185959</v>
      </c>
      <c r="K50" s="2">
        <v>1514457.2180247949</v>
      </c>
      <c r="L50" s="6">
        <v>16.51454385498031</v>
      </c>
      <c r="M50" s="7">
        <v>1.486007491010215</v>
      </c>
      <c r="N50" s="6">
        <v>0.41706650375803361</v>
      </c>
      <c r="O50" s="2">
        <v>29697.68077663958</v>
      </c>
      <c r="P50" s="2">
        <v>2977.6498268265041</v>
      </c>
      <c r="Q50" s="2">
        <v>161449.1313873023</v>
      </c>
      <c r="R50" s="3">
        <v>0.1066052771024259</v>
      </c>
      <c r="S50" s="2">
        <v>1241.8780026902441</v>
      </c>
      <c r="T50" s="7">
        <v>17982.74359705285</v>
      </c>
      <c r="U50" t="s">
        <v>55</v>
      </c>
      <c r="V50" s="5">
        <v>0.41706650375803372</v>
      </c>
      <c r="W50">
        <f t="shared" si="3"/>
        <v>17982.743597052857</v>
      </c>
      <c r="X50">
        <f t="shared" si="4"/>
        <v>0.99999999999999956</v>
      </c>
      <c r="Y50">
        <f t="shared" si="2"/>
        <v>1.0000000000000002</v>
      </c>
    </row>
    <row r="51" spans="1:25" x14ac:dyDescent="0.25">
      <c r="A51" t="s">
        <v>22</v>
      </c>
      <c r="B51" s="9">
        <v>45853</v>
      </c>
      <c r="C51" s="2">
        <v>53.765846252441413</v>
      </c>
      <c r="D51" s="3">
        <v>6.7473010795681729E-2</v>
      </c>
      <c r="E51" s="4">
        <v>0.79624609677408487</v>
      </c>
      <c r="F51" s="5">
        <v>7.9624609677408486E-3</v>
      </c>
      <c r="G51" s="4">
        <v>12.640014926820591</v>
      </c>
      <c r="H51" s="5">
        <v>0.12640014926820589</v>
      </c>
      <c r="I51" s="3">
        <v>0.12</v>
      </c>
      <c r="J51" s="2">
        <v>11309.002685115909</v>
      </c>
      <c r="K51" s="2">
        <v>1507867.0246821209</v>
      </c>
      <c r="L51" s="6">
        <v>12.47841415175087</v>
      </c>
      <c r="M51" s="7">
        <v>1.4859059218781681</v>
      </c>
      <c r="N51" s="6">
        <v>0.42810845218262028</v>
      </c>
      <c r="O51" s="2">
        <v>21860.840555936789</v>
      </c>
      <c r="P51" s="2">
        <v>2191.7360952338199</v>
      </c>
      <c r="Q51" s="2">
        <v>117840.54592226791</v>
      </c>
      <c r="R51" s="3">
        <v>7.8150489395515679E-2</v>
      </c>
      <c r="S51" s="2">
        <v>938.30074732333082</v>
      </c>
      <c r="T51" s="7">
        <v>17518.925313814379</v>
      </c>
      <c r="U51" t="s">
        <v>55</v>
      </c>
      <c r="V51" s="5">
        <v>0.42810845218262028</v>
      </c>
      <c r="W51">
        <f t="shared" si="3"/>
        <v>17518.925313814379</v>
      </c>
      <c r="X51">
        <f t="shared" si="4"/>
        <v>1</v>
      </c>
      <c r="Y51">
        <f t="shared" si="2"/>
        <v>1</v>
      </c>
    </row>
    <row r="52" spans="1:25" x14ac:dyDescent="0.25">
      <c r="A52" t="s">
        <v>22</v>
      </c>
      <c r="B52" s="9">
        <v>45854</v>
      </c>
      <c r="C52" s="2">
        <v>54.022724151611328</v>
      </c>
      <c r="D52" s="3">
        <v>6.7473010795681729E-2</v>
      </c>
      <c r="E52" s="4">
        <v>0.77768443956643307</v>
      </c>
      <c r="F52" s="5">
        <v>7.7768443956643309E-3</v>
      </c>
      <c r="G52" s="4">
        <v>12.34535775346453</v>
      </c>
      <c r="H52" s="5">
        <v>0.1234535775346453</v>
      </c>
      <c r="I52" s="3">
        <v>0.12</v>
      </c>
      <c r="J52" s="2">
        <v>11340.015607123411</v>
      </c>
      <c r="K52" s="2">
        <v>1512002.080949788</v>
      </c>
      <c r="L52" s="6">
        <v>13.54250922971096</v>
      </c>
      <c r="M52" s="7">
        <v>1.4858059649545661</v>
      </c>
      <c r="N52" s="6">
        <v>0.42012631955697871</v>
      </c>
      <c r="O52" s="2">
        <v>24175.7810674504</v>
      </c>
      <c r="P52" s="2">
        <v>2423.665614703018</v>
      </c>
      <c r="Q52" s="2">
        <v>130933.0189388467</v>
      </c>
      <c r="R52" s="3">
        <v>8.6595792815707631E-2</v>
      </c>
      <c r="S52" s="2">
        <v>1018.245714541981</v>
      </c>
      <c r="T52" s="7">
        <v>17851.773742498961</v>
      </c>
      <c r="U52" t="s">
        <v>55</v>
      </c>
      <c r="V52" s="5">
        <v>0.42012631955697871</v>
      </c>
      <c r="W52">
        <f t="shared" si="3"/>
        <v>17851.773742498961</v>
      </c>
      <c r="X52">
        <f t="shared" si="4"/>
        <v>1</v>
      </c>
      <c r="Y52">
        <f t="shared" si="2"/>
        <v>1</v>
      </c>
    </row>
    <row r="53" spans="1:25" x14ac:dyDescent="0.25">
      <c r="A53" t="s">
        <v>22</v>
      </c>
      <c r="B53" s="9">
        <v>45855</v>
      </c>
      <c r="C53" s="2">
        <v>54.259838104248047</v>
      </c>
      <c r="D53" s="3">
        <v>6.7473010795681729E-2</v>
      </c>
      <c r="E53" s="4">
        <v>0.75939555628821465</v>
      </c>
      <c r="F53" s="5">
        <v>7.5939555628821466E-3</v>
      </c>
      <c r="G53" s="4">
        <v>12.055030731997009</v>
      </c>
      <c r="H53" s="5">
        <v>0.1205503073199701</v>
      </c>
      <c r="I53" s="3">
        <v>0.12</v>
      </c>
      <c r="J53" s="2">
        <v>11361.607679151481</v>
      </c>
      <c r="K53" s="2">
        <v>1514881.0238868641</v>
      </c>
      <c r="L53" s="6">
        <v>16.153101843069251</v>
      </c>
      <c r="M53" s="7">
        <v>1.485707594648799</v>
      </c>
      <c r="N53" s="6">
        <v>0.41204679941283912</v>
      </c>
      <c r="O53" s="2">
        <v>29401.578654573699</v>
      </c>
      <c r="P53" s="2">
        <v>2947.3660909575779</v>
      </c>
      <c r="Q53" s="2">
        <v>159923.60692930859</v>
      </c>
      <c r="R53" s="3">
        <v>0.1055684270959963</v>
      </c>
      <c r="S53" s="2">
        <v>1214.452764477001</v>
      </c>
      <c r="T53" s="7">
        <v>18201.815936168889</v>
      </c>
      <c r="U53" t="s">
        <v>55</v>
      </c>
      <c r="V53" s="5">
        <v>0.41204679941283912</v>
      </c>
      <c r="W53">
        <f t="shared" si="3"/>
        <v>18201.815936168889</v>
      </c>
      <c r="X53">
        <f t="shared" si="4"/>
        <v>1</v>
      </c>
      <c r="Y53">
        <f t="shared" si="2"/>
        <v>1</v>
      </c>
    </row>
    <row r="54" spans="1:25" x14ac:dyDescent="0.25">
      <c r="A54" t="s">
        <v>22</v>
      </c>
      <c r="B54" s="9">
        <v>45856</v>
      </c>
      <c r="C54" s="2">
        <v>54.437675476074219</v>
      </c>
      <c r="D54" s="3">
        <v>6.7473010795681729E-2</v>
      </c>
      <c r="E54" s="4">
        <v>0.74145398323699696</v>
      </c>
      <c r="F54" s="5">
        <v>7.4145398323699693E-3</v>
      </c>
      <c r="G54" s="4">
        <v>11.77021708946009</v>
      </c>
      <c r="H54" s="5">
        <v>0.1177021708946009</v>
      </c>
      <c r="I54" s="3">
        <v>0.12</v>
      </c>
      <c r="J54" s="2">
        <v>11369.757196167029</v>
      </c>
      <c r="K54" s="2">
        <v>1515967.6261556039</v>
      </c>
      <c r="L54" s="6">
        <v>17.563956514186071</v>
      </c>
      <c r="M54" s="7">
        <v>1.4856107857764571</v>
      </c>
      <c r="N54" s="6">
        <v>0.40363031319898213</v>
      </c>
      <c r="O54" s="2">
        <v>32636.219220595369</v>
      </c>
      <c r="P54" s="2">
        <v>3271.4099875051688</v>
      </c>
      <c r="Q54" s="2">
        <v>178087.9552489944</v>
      </c>
      <c r="R54" s="3">
        <v>0.1174747746431855</v>
      </c>
      <c r="S54" s="2">
        <v>1320.44023785899</v>
      </c>
      <c r="T54" s="7">
        <v>18581.359612360531</v>
      </c>
      <c r="U54" t="s">
        <v>55</v>
      </c>
      <c r="V54" s="5">
        <v>0.40363031319898213</v>
      </c>
      <c r="W54">
        <f t="shared" si="3"/>
        <v>18581.359612360535</v>
      </c>
      <c r="X54">
        <f t="shared" si="4"/>
        <v>0.99999999999999978</v>
      </c>
      <c r="Y54">
        <f t="shared" si="2"/>
        <v>1.0000000000000002</v>
      </c>
    </row>
    <row r="55" spans="1:25" x14ac:dyDescent="0.25">
      <c r="A55" t="s">
        <v>22</v>
      </c>
      <c r="B55" s="9">
        <v>45859</v>
      </c>
      <c r="C55" s="2">
        <v>54.526592254638672</v>
      </c>
      <c r="D55" s="3">
        <v>6.7473010795681729E-2</v>
      </c>
      <c r="E55" s="4">
        <v>0.72524412180338571</v>
      </c>
      <c r="F55" s="5">
        <v>7.2524412180338567E-3</v>
      </c>
      <c r="G55" s="4">
        <v>11.512893516619171</v>
      </c>
      <c r="H55" s="5">
        <v>0.1151289351661917</v>
      </c>
      <c r="I55" s="3">
        <v>0.12</v>
      </c>
      <c r="J55" s="2">
        <v>11398.782182031389</v>
      </c>
      <c r="K55" s="2">
        <v>1519837.624270852</v>
      </c>
      <c r="L55" s="6">
        <v>18.235120078088858</v>
      </c>
      <c r="M55" s="7">
        <v>1.4855155135528819</v>
      </c>
      <c r="N55" s="6">
        <v>0.39545090514646708</v>
      </c>
      <c r="O55" s="2">
        <v>34584.166784246459</v>
      </c>
      <c r="P55" s="2">
        <v>3466.4472701079399</v>
      </c>
      <c r="Q55" s="2">
        <v>189013.55686938099</v>
      </c>
      <c r="R55" s="3">
        <v>0.1243643096150228</v>
      </c>
      <c r="S55" s="2">
        <v>1370.809710606685</v>
      </c>
      <c r="T55" s="7">
        <v>18965.691827717899</v>
      </c>
      <c r="U55" t="s">
        <v>55</v>
      </c>
      <c r="V55" s="5">
        <v>0.39545090514646708</v>
      </c>
      <c r="W55">
        <f t="shared" si="3"/>
        <v>18965.691827717903</v>
      </c>
      <c r="X55">
        <f t="shared" si="4"/>
        <v>0.99999999999999978</v>
      </c>
      <c r="Y55">
        <f t="shared" si="2"/>
        <v>1.0000000000000004</v>
      </c>
    </row>
    <row r="56" spans="1:25" x14ac:dyDescent="0.25">
      <c r="A56" t="s">
        <v>22</v>
      </c>
      <c r="B56" s="9">
        <v>45860</v>
      </c>
      <c r="C56" s="2">
        <v>54.921787261962891</v>
      </c>
      <c r="D56" s="3">
        <v>6.7473010795681729E-2</v>
      </c>
      <c r="E56" s="4">
        <v>0.71352043466363579</v>
      </c>
      <c r="F56" s="5">
        <v>7.1352043466363577E-3</v>
      </c>
      <c r="G56" s="4">
        <v>11.32678575289615</v>
      </c>
      <c r="H56" s="5">
        <v>0.1132678575289615</v>
      </c>
      <c r="I56" s="3">
        <v>0.12</v>
      </c>
      <c r="J56" s="2">
        <v>11433.146152697111</v>
      </c>
      <c r="K56" s="2">
        <v>1524419.487026281</v>
      </c>
      <c r="L56" s="6">
        <v>18.79947804498666</v>
      </c>
      <c r="M56" s="7">
        <v>1.4854217535868239</v>
      </c>
      <c r="N56" s="6">
        <v>0.39187817519659501</v>
      </c>
      <c r="O56" s="2">
        <v>35979.570759883718</v>
      </c>
      <c r="P56" s="2">
        <v>3606.084070073704</v>
      </c>
      <c r="Q56" s="2">
        <v>198052.58214534129</v>
      </c>
      <c r="R56" s="3">
        <v>0.1299200015683917</v>
      </c>
      <c r="S56" s="2">
        <v>1413.1456449859929</v>
      </c>
      <c r="T56" s="7">
        <v>19138.600908911161</v>
      </c>
      <c r="U56" t="s">
        <v>55</v>
      </c>
      <c r="V56" s="5">
        <v>0.39187817519659501</v>
      </c>
      <c r="W56">
        <f t="shared" si="3"/>
        <v>19138.600908911161</v>
      </c>
      <c r="X56">
        <f t="shared" si="4"/>
        <v>1</v>
      </c>
      <c r="Y56">
        <f t="shared" si="2"/>
        <v>1</v>
      </c>
    </row>
    <row r="57" spans="1:25" x14ac:dyDescent="0.25">
      <c r="A57" t="s">
        <v>22</v>
      </c>
      <c r="B57" s="9">
        <v>45861</v>
      </c>
      <c r="C57" s="2">
        <v>55.336734771728523</v>
      </c>
      <c r="D57" s="3">
        <v>6.7473010795681729E-2</v>
      </c>
      <c r="E57" s="4">
        <v>0.70223790211843251</v>
      </c>
      <c r="F57" s="5">
        <v>7.0223790211843247E-3</v>
      </c>
      <c r="G57" s="4">
        <v>11.147681101254539</v>
      </c>
      <c r="H57" s="5">
        <v>0.1114768110125454</v>
      </c>
      <c r="I57" s="3">
        <v>0.12</v>
      </c>
      <c r="J57" s="2">
        <v>11467.47150991014</v>
      </c>
      <c r="K57" s="2">
        <v>1528996.201321352</v>
      </c>
      <c r="L57" s="6">
        <v>19.40964911437851</v>
      </c>
      <c r="M57" s="7">
        <v>1.485329481874196</v>
      </c>
      <c r="N57" s="6">
        <v>0.38859552536182751</v>
      </c>
      <c r="O57" s="2">
        <v>37461.15404244401</v>
      </c>
      <c r="P57" s="2">
        <v>3754.3438278869871</v>
      </c>
      <c r="Q57" s="2">
        <v>207753.1286456582</v>
      </c>
      <c r="R57" s="3">
        <v>0.13587550346176061</v>
      </c>
      <c r="S57" s="2">
        <v>1458.9212121866781</v>
      </c>
      <c r="T57" s="7">
        <v>19300.273704944571</v>
      </c>
      <c r="U57" t="s">
        <v>55</v>
      </c>
      <c r="V57" s="5">
        <v>0.38859552536182751</v>
      </c>
      <c r="W57">
        <f t="shared" si="3"/>
        <v>19300.273704944568</v>
      </c>
      <c r="X57">
        <f t="shared" si="4"/>
        <v>1.0000000000000002</v>
      </c>
      <c r="Y57">
        <f t="shared" si="2"/>
        <v>0.99999999999999978</v>
      </c>
    </row>
    <row r="58" spans="1:25" x14ac:dyDescent="0.25">
      <c r="A58" t="s">
        <v>22</v>
      </c>
      <c r="B58" s="9">
        <v>45862</v>
      </c>
      <c r="C58" s="2">
        <v>55.149021148681641</v>
      </c>
      <c r="D58" s="3">
        <v>6.7473010795681729E-2</v>
      </c>
      <c r="E58" s="4">
        <v>0.70385087754346098</v>
      </c>
      <c r="F58" s="5">
        <v>7.0385087754346086E-3</v>
      </c>
      <c r="G58" s="4">
        <v>11.17328629232745</v>
      </c>
      <c r="H58" s="5">
        <v>0.1117328629232745</v>
      </c>
      <c r="I58" s="3">
        <v>0.12</v>
      </c>
      <c r="J58" s="2">
        <v>11419.211493711009</v>
      </c>
      <c r="K58" s="2">
        <v>1522561.5324948011</v>
      </c>
      <c r="L58" s="6">
        <v>18.474270710617692</v>
      </c>
      <c r="M58" s="7">
        <v>1.4852386747919279</v>
      </c>
      <c r="N58" s="6">
        <v>0.38816686931162458</v>
      </c>
      <c r="O58" s="2">
        <v>35695.223184644739</v>
      </c>
      <c r="P58" s="2">
        <v>3577.1441459630478</v>
      </c>
      <c r="Q58" s="2">
        <v>197275.99815759889</v>
      </c>
      <c r="R58" s="3">
        <v>0.1295684896454406</v>
      </c>
      <c r="S58" s="2">
        <v>1388.528844214881</v>
      </c>
      <c r="T58" s="7">
        <v>19321.58716507801</v>
      </c>
      <c r="U58" t="s">
        <v>55</v>
      </c>
      <c r="V58" s="5">
        <v>0.38816686931162458</v>
      </c>
      <c r="W58">
        <f t="shared" si="3"/>
        <v>19321.587165078017</v>
      </c>
      <c r="X58">
        <f t="shared" si="4"/>
        <v>0.99999999999999967</v>
      </c>
      <c r="Y58">
        <f t="shared" si="2"/>
        <v>1.0000000000000002</v>
      </c>
    </row>
    <row r="59" spans="1:25" x14ac:dyDescent="0.25">
      <c r="A59" t="s">
        <v>22</v>
      </c>
      <c r="B59" s="9">
        <v>45863</v>
      </c>
      <c r="C59" s="2">
        <v>54.951423645019531</v>
      </c>
      <c r="D59" s="3">
        <v>6.7473010795681729E-2</v>
      </c>
      <c r="E59" s="4">
        <v>0.70482186219383347</v>
      </c>
      <c r="F59" s="5">
        <v>7.0482186219383344E-3</v>
      </c>
      <c r="G59" s="4">
        <v>11.18870019579793</v>
      </c>
      <c r="H59" s="5">
        <v>0.11188700195797931</v>
      </c>
      <c r="I59" s="3">
        <v>0.12</v>
      </c>
      <c r="J59" s="2">
        <v>11405.41956561927</v>
      </c>
      <c r="K59" s="2">
        <v>1520722.608749236</v>
      </c>
      <c r="L59" s="6">
        <v>16.809648537837791</v>
      </c>
      <c r="M59" s="7">
        <v>1.485149309091917</v>
      </c>
      <c r="N59" s="6">
        <v>0.38730964743684909</v>
      </c>
      <c r="O59" s="2">
        <v>32550.793626781411</v>
      </c>
      <c r="P59" s="2">
        <v>3261.8335015259408</v>
      </c>
      <c r="Q59" s="2">
        <v>179242.3946018694</v>
      </c>
      <c r="R59" s="3">
        <v>0.1178665941905688</v>
      </c>
      <c r="S59" s="2">
        <v>1263.339583473715</v>
      </c>
      <c r="T59" s="7">
        <v>19364.351106753351</v>
      </c>
      <c r="U59" t="s">
        <v>55</v>
      </c>
      <c r="V59" s="5">
        <v>0.3873096474368492</v>
      </c>
      <c r="W59">
        <f t="shared" si="3"/>
        <v>19364.351106753351</v>
      </c>
      <c r="X59">
        <f t="shared" si="4"/>
        <v>1</v>
      </c>
      <c r="Y59">
        <f t="shared" si="2"/>
        <v>0.99999999999999978</v>
      </c>
    </row>
    <row r="60" spans="1:25" x14ac:dyDescent="0.25">
      <c r="A60" t="s">
        <v>22</v>
      </c>
      <c r="B60" s="9">
        <v>45866</v>
      </c>
      <c r="C60" s="2">
        <v>54.694549560546882</v>
      </c>
      <c r="D60" s="3">
        <v>6.7473010795681729E-2</v>
      </c>
      <c r="E60" s="4">
        <v>0.70963835673987707</v>
      </c>
      <c r="F60" s="5">
        <v>7.0963835673987707E-3</v>
      </c>
      <c r="G60" s="4">
        <v>11.265159676357509</v>
      </c>
      <c r="H60" s="5">
        <v>0.1126515967635751</v>
      </c>
      <c r="I60" s="3">
        <v>0.12</v>
      </c>
      <c r="J60" s="2">
        <v>11294.56372885231</v>
      </c>
      <c r="K60" s="2">
        <v>1505941.830513641</v>
      </c>
      <c r="L60" s="6">
        <v>14.41436121141232</v>
      </c>
      <c r="M60" s="7">
        <v>1.485061361895081</v>
      </c>
      <c r="N60" s="6">
        <v>0.38813350272774261</v>
      </c>
      <c r="O60" s="2">
        <v>27853.227903756841</v>
      </c>
      <c r="P60" s="2">
        <v>2790.9369233168218</v>
      </c>
      <c r="Q60" s="2">
        <v>152649.03787271219</v>
      </c>
      <c r="R60" s="3">
        <v>0.1013644981364567</v>
      </c>
      <c r="S60" s="2">
        <v>1083.2561239391471</v>
      </c>
      <c r="T60" s="7">
        <v>19323.248179533981</v>
      </c>
      <c r="U60" t="s">
        <v>55</v>
      </c>
      <c r="V60" s="5">
        <v>0.38813350272774261</v>
      </c>
      <c r="W60">
        <f t="shared" si="3"/>
        <v>19323.248179533985</v>
      </c>
      <c r="X60">
        <f t="shared" si="4"/>
        <v>0.99999999999999978</v>
      </c>
      <c r="Y60">
        <f t="shared" si="2"/>
        <v>1</v>
      </c>
    </row>
    <row r="61" spans="1:25" x14ac:dyDescent="0.25">
      <c r="A61" t="s">
        <v>22</v>
      </c>
      <c r="B61" s="9">
        <v>45867</v>
      </c>
      <c r="C61" s="2">
        <v>54.961307525634773</v>
      </c>
      <c r="D61" s="3">
        <v>6.7473010795681729E-2</v>
      </c>
      <c r="E61" s="4">
        <v>0.69577078838082973</v>
      </c>
      <c r="F61" s="5">
        <v>6.957707883808297E-3</v>
      </c>
      <c r="G61" s="4">
        <v>11.045018853354151</v>
      </c>
      <c r="H61" s="5">
        <v>0.11045018853354149</v>
      </c>
      <c r="I61" s="3">
        <v>0.12</v>
      </c>
      <c r="J61" s="2">
        <v>11315.930791311879</v>
      </c>
      <c r="K61" s="2">
        <v>1508790.7721749169</v>
      </c>
      <c r="L61" s="6">
        <v>14.75068029119846</v>
      </c>
      <c r="M61" s="7">
        <v>1.4849748106854961</v>
      </c>
      <c r="N61" s="6">
        <v>0.38240472267552128</v>
      </c>
      <c r="O61" s="2">
        <v>28930.108762767679</v>
      </c>
      <c r="P61" s="2">
        <v>2898.6731186334432</v>
      </c>
      <c r="Q61" s="2">
        <v>159314.86468950339</v>
      </c>
      <c r="R61" s="3">
        <v>0.1055910916394668</v>
      </c>
      <c r="S61" s="2">
        <v>1108.4662900580099</v>
      </c>
      <c r="T61" s="7">
        <v>19612.728492278358</v>
      </c>
      <c r="U61" t="s">
        <v>55</v>
      </c>
      <c r="V61" s="5">
        <v>0.38240472267552128</v>
      </c>
      <c r="W61">
        <f t="shared" si="3"/>
        <v>19612.728492278355</v>
      </c>
      <c r="X61">
        <f t="shared" si="4"/>
        <v>1.0000000000000002</v>
      </c>
      <c r="Y61">
        <f t="shared" si="2"/>
        <v>1</v>
      </c>
    </row>
    <row r="62" spans="1:25" x14ac:dyDescent="0.25">
      <c r="A62" t="s">
        <v>22</v>
      </c>
      <c r="B62" s="9">
        <v>45868</v>
      </c>
      <c r="C62" s="2">
        <v>54.417919158935547</v>
      </c>
      <c r="D62" s="3">
        <v>6.7473010795681729E-2</v>
      </c>
      <c r="E62" s="4">
        <v>0.73440201044264808</v>
      </c>
      <c r="F62" s="5">
        <v>7.3440201044264811E-3</v>
      </c>
      <c r="G62" s="4">
        <v>11.658270491862639</v>
      </c>
      <c r="H62" s="5">
        <v>0.11658270491862641</v>
      </c>
      <c r="I62" s="3">
        <v>0.12</v>
      </c>
      <c r="J62" s="2">
        <v>11251.16646492065</v>
      </c>
      <c r="K62" s="2">
        <v>1500155.5286560869</v>
      </c>
      <c r="L62" s="6">
        <v>9.4099845830750581</v>
      </c>
      <c r="M62" s="7">
        <v>1.4848896333046351</v>
      </c>
      <c r="N62" s="6">
        <v>0.39964629234427762</v>
      </c>
      <c r="O62" s="2">
        <v>17659.33669972992</v>
      </c>
      <c r="P62" s="2">
        <v>1769.2884893785699</v>
      </c>
      <c r="Q62" s="2">
        <v>96280.997983838242</v>
      </c>
      <c r="R62" s="3">
        <v>6.4180677366227137E-2</v>
      </c>
      <c r="S62" s="2">
        <v>707.08958486755353</v>
      </c>
      <c r="T62" s="7">
        <v>18766.59472056125</v>
      </c>
      <c r="U62" t="s">
        <v>55</v>
      </c>
      <c r="V62" s="5">
        <v>0.39964629234427762</v>
      </c>
      <c r="W62">
        <f t="shared" si="3"/>
        <v>18766.594720561254</v>
      </c>
      <c r="X62">
        <f t="shared" si="4"/>
        <v>0.99999999999999978</v>
      </c>
      <c r="Y62">
        <f t="shared" si="2"/>
        <v>1.0000000000000002</v>
      </c>
    </row>
    <row r="63" spans="1:25" x14ac:dyDescent="0.25">
      <c r="A63" t="s">
        <v>22</v>
      </c>
      <c r="B63" s="9">
        <v>45869</v>
      </c>
      <c r="C63" s="2">
        <v>54.042484283447273</v>
      </c>
      <c r="D63" s="3">
        <v>6.7473010795681729E-2</v>
      </c>
      <c r="E63" s="4">
        <v>0.74521858526973705</v>
      </c>
      <c r="F63" s="5">
        <v>7.4521858526973702E-3</v>
      </c>
      <c r="G63" s="4">
        <v>11.82997829404264</v>
      </c>
      <c r="H63" s="5">
        <v>0.1182997829404264</v>
      </c>
      <c r="I63" s="3">
        <v>0.12</v>
      </c>
      <c r="J63" s="2">
        <v>11224.82322200907</v>
      </c>
      <c r="K63" s="2">
        <v>1496643.096267876</v>
      </c>
      <c r="L63" s="6">
        <v>5.5785227796913448</v>
      </c>
      <c r="M63" s="7">
        <v>1.4848058079456929</v>
      </c>
      <c r="N63" s="6">
        <v>0.40273463682172572</v>
      </c>
      <c r="O63" s="2">
        <v>10388.706861139801</v>
      </c>
      <c r="P63" s="2">
        <v>1040.7855150029161</v>
      </c>
      <c r="Q63" s="2">
        <v>56246.634836984667</v>
      </c>
      <c r="R63" s="3">
        <v>3.7581862353987278E-2</v>
      </c>
      <c r="S63" s="2">
        <v>419.16037639401219</v>
      </c>
      <c r="T63" s="7">
        <v>18622.68430445416</v>
      </c>
      <c r="U63" t="s">
        <v>55</v>
      </c>
      <c r="V63" s="5">
        <v>0.40273463682172572</v>
      </c>
      <c r="W63">
        <f t="shared" si="3"/>
        <v>18622.684304454164</v>
      </c>
      <c r="X63">
        <f t="shared" si="4"/>
        <v>0.99999999999999978</v>
      </c>
      <c r="Y63">
        <f t="shared" si="2"/>
        <v>1.0000000000000002</v>
      </c>
    </row>
    <row r="64" spans="1:25" x14ac:dyDescent="0.25">
      <c r="A64" t="s">
        <v>22</v>
      </c>
      <c r="B64" s="9">
        <v>45870</v>
      </c>
      <c r="C64" s="2">
        <v>53.874526977539063</v>
      </c>
      <c r="D64" s="3">
        <v>6.7473010795681729E-2</v>
      </c>
      <c r="E64" s="4">
        <v>0.73741185051080482</v>
      </c>
      <c r="F64" s="5">
        <v>7.3741185051080481E-3</v>
      </c>
      <c r="G64" s="4">
        <v>11.706050221701171</v>
      </c>
      <c r="H64" s="5">
        <v>0.1170605022170117</v>
      </c>
      <c r="I64" s="3">
        <v>0.12</v>
      </c>
      <c r="J64" s="2">
        <v>11202.17468896721</v>
      </c>
      <c r="K64" s="2">
        <v>1493623.291862295</v>
      </c>
      <c r="L64" s="6">
        <v>3.6633529442894859</v>
      </c>
      <c r="M64" s="7">
        <v>1.4847233131480031</v>
      </c>
      <c r="N64" s="6">
        <v>0.39727714633901362</v>
      </c>
      <c r="O64" s="2">
        <v>6915.8639844652516</v>
      </c>
      <c r="P64" s="2">
        <v>692.82262391533163</v>
      </c>
      <c r="Q64" s="2">
        <v>37325.491142775943</v>
      </c>
      <c r="R64" s="3">
        <v>2.498989627849026E-2</v>
      </c>
      <c r="S64" s="2">
        <v>275.24259494819057</v>
      </c>
      <c r="T64" s="7">
        <v>18878.50854023184</v>
      </c>
      <c r="U64" t="s">
        <v>55</v>
      </c>
      <c r="V64" s="5">
        <v>0.39727714633901362</v>
      </c>
      <c r="W64">
        <f t="shared" si="3"/>
        <v>18878.508540231836</v>
      </c>
      <c r="X64">
        <f t="shared" si="4"/>
        <v>1.0000000000000002</v>
      </c>
      <c r="Y64">
        <f t="shared" si="2"/>
        <v>0.99999999999999967</v>
      </c>
    </row>
    <row r="65" spans="1:25" x14ac:dyDescent="0.25">
      <c r="A65" t="s">
        <v>22</v>
      </c>
      <c r="B65" s="9">
        <v>45873</v>
      </c>
      <c r="C65" s="2">
        <v>54.477195739746087</v>
      </c>
      <c r="D65" s="3">
        <v>6.7473010795681729E-2</v>
      </c>
      <c r="E65" s="4">
        <v>0.74875867610406899</v>
      </c>
      <c r="F65" s="5">
        <v>7.4875867610406897E-3</v>
      </c>
      <c r="G65" s="4">
        <v>11.88617549383997</v>
      </c>
      <c r="H65" s="5">
        <v>0.11886175493839971</v>
      </c>
      <c r="I65" s="3">
        <v>0.12</v>
      </c>
      <c r="J65" s="2">
        <v>11261.122674604539</v>
      </c>
      <c r="K65" s="2">
        <v>1501483.023280605</v>
      </c>
      <c r="L65" s="6">
        <v>6.6121698217939722</v>
      </c>
      <c r="M65" s="7">
        <v>1.484642127791546</v>
      </c>
      <c r="N65" s="6">
        <v>0.4079027295995451</v>
      </c>
      <c r="O65" s="2">
        <v>12157.62240967119</v>
      </c>
      <c r="P65" s="2">
        <v>1217.8688446852891</v>
      </c>
      <c r="Q65" s="2">
        <v>66346.07943725893</v>
      </c>
      <c r="R65" s="3">
        <v>4.4187032692716517E-2</v>
      </c>
      <c r="S65" s="2">
        <v>496.77202604137392</v>
      </c>
      <c r="T65" s="7">
        <v>18386.736483384309</v>
      </c>
      <c r="U65" t="s">
        <v>55</v>
      </c>
      <c r="V65" s="5">
        <v>0.4079027295995451</v>
      </c>
      <c r="W65">
        <f t="shared" si="3"/>
        <v>18386.736483384309</v>
      </c>
      <c r="X65">
        <f t="shared" si="4"/>
        <v>1</v>
      </c>
      <c r="Y65">
        <f t="shared" si="2"/>
        <v>1</v>
      </c>
    </row>
    <row r="66" spans="1:25" x14ac:dyDescent="0.25">
      <c r="A66" t="s">
        <v>22</v>
      </c>
      <c r="B66" s="9">
        <v>45874</v>
      </c>
      <c r="C66" s="2">
        <v>54.813106536865227</v>
      </c>
      <c r="D66" s="3">
        <v>6.7473010795681729E-2</v>
      </c>
      <c r="E66" s="4">
        <v>0.73713378527254836</v>
      </c>
      <c r="F66" s="5">
        <v>7.3713378527254826E-3</v>
      </c>
      <c r="G66" s="4">
        <v>11.7016360728891</v>
      </c>
      <c r="H66" s="5">
        <v>0.117016360728891</v>
      </c>
      <c r="I66" s="3">
        <v>0.12</v>
      </c>
      <c r="J66" s="2">
        <v>11258.90633716401</v>
      </c>
      <c r="K66" s="2">
        <v>1501187.5116218689</v>
      </c>
      <c r="L66" s="6">
        <v>9.9802647638318653</v>
      </c>
      <c r="M66" s="7">
        <v>1.4845622310915421</v>
      </c>
      <c r="N66" s="6">
        <v>0.40404592704066927</v>
      </c>
      <c r="O66" s="2">
        <v>18525.613233370059</v>
      </c>
      <c r="P66" s="2">
        <v>1855.671467125655</v>
      </c>
      <c r="Q66" s="2">
        <v>101715.1178249795</v>
      </c>
      <c r="R66" s="3">
        <v>6.7756437511985082E-2</v>
      </c>
      <c r="S66" s="2">
        <v>749.77649821770422</v>
      </c>
      <c r="T66" s="7">
        <v>18562.24626475466</v>
      </c>
      <c r="U66" t="s">
        <v>55</v>
      </c>
      <c r="V66" s="5">
        <v>0.40404592704066927</v>
      </c>
      <c r="W66">
        <f t="shared" si="3"/>
        <v>18562.246264754671</v>
      </c>
      <c r="X66">
        <f t="shared" si="4"/>
        <v>0.99999999999999944</v>
      </c>
      <c r="Y66">
        <f t="shared" si="2"/>
        <v>1.0000000000000004</v>
      </c>
    </row>
    <row r="67" spans="1:25" x14ac:dyDescent="0.25">
      <c r="A67" t="s">
        <v>22</v>
      </c>
      <c r="B67" s="9">
        <v>45875</v>
      </c>
      <c r="C67" s="2">
        <v>55.237937927246087</v>
      </c>
      <c r="D67" s="3">
        <v>6.7473010795681729E-2</v>
      </c>
      <c r="E67" s="4">
        <v>0.72926133620358202</v>
      </c>
      <c r="F67" s="5">
        <v>7.2926133620358196E-3</v>
      </c>
      <c r="G67" s="4">
        <v>11.576664818216051</v>
      </c>
      <c r="H67" s="5">
        <v>0.11576664818216049</v>
      </c>
      <c r="I67" s="3">
        <v>0.12</v>
      </c>
      <c r="J67" s="2">
        <v>11279.81019078586</v>
      </c>
      <c r="K67" s="2">
        <v>1503974.692104781</v>
      </c>
      <c r="L67" s="6">
        <v>14.75463006406703</v>
      </c>
      <c r="M67" s="7">
        <v>1.484483602593125</v>
      </c>
      <c r="N67" s="6">
        <v>0.40282892421954009</v>
      </c>
      <c r="O67" s="2">
        <v>27470.650399521372</v>
      </c>
      <c r="P67" s="2">
        <v>2751.531167321034</v>
      </c>
      <c r="Q67" s="2">
        <v>151988.90782536229</v>
      </c>
      <c r="R67" s="3">
        <v>0.1010581551825563</v>
      </c>
      <c r="S67" s="2">
        <v>1108.3963400884679</v>
      </c>
      <c r="T67" s="7">
        <v>18618.325420725079</v>
      </c>
      <c r="U67" t="s">
        <v>55</v>
      </c>
      <c r="V67" s="5">
        <v>0.40282892421954009</v>
      </c>
      <c r="W67">
        <f t="shared" si="3"/>
        <v>18618.325420725087</v>
      </c>
      <c r="X67">
        <f t="shared" si="4"/>
        <v>0.99999999999999956</v>
      </c>
      <c r="Y67">
        <f t="shared" ref="Y67:Y101" si="5">(1000000*I67/16)/(V67)/T67</f>
        <v>1</v>
      </c>
    </row>
    <row r="68" spans="1:25" x14ac:dyDescent="0.25">
      <c r="A68" t="s">
        <v>22</v>
      </c>
      <c r="B68" s="9">
        <v>45876</v>
      </c>
      <c r="C68" s="2">
        <v>55.228061676025391</v>
      </c>
      <c r="D68" s="3">
        <v>6.7473010795681729E-2</v>
      </c>
      <c r="E68" s="4">
        <v>0.71650243468736441</v>
      </c>
      <c r="F68" s="5">
        <v>7.1650243468736443E-3</v>
      </c>
      <c r="G68" s="4">
        <v>11.374123535730391</v>
      </c>
      <c r="H68" s="5">
        <v>0.1137412353573039</v>
      </c>
      <c r="I68" s="3">
        <v>0.12</v>
      </c>
      <c r="J68" s="2">
        <v>11295.23294384669</v>
      </c>
      <c r="K68" s="2">
        <v>1506031.059179558</v>
      </c>
      <c r="L68" s="6">
        <v>16.619911772910669</v>
      </c>
      <c r="M68" s="7">
        <v>1.484406222166111</v>
      </c>
      <c r="N68" s="6">
        <v>0.39571040653936118</v>
      </c>
      <c r="O68" s="2">
        <v>31500.1415775077</v>
      </c>
      <c r="P68" s="2">
        <v>3154.97092723175</v>
      </c>
      <c r="Q68" s="2">
        <v>174242.9289552221</v>
      </c>
      <c r="R68" s="3">
        <v>0.1156967699259433</v>
      </c>
      <c r="S68" s="2">
        <v>1248.4548282347409</v>
      </c>
      <c r="T68" s="7">
        <v>18953.254390225331</v>
      </c>
      <c r="U68" t="s">
        <v>55</v>
      </c>
      <c r="V68" s="5">
        <v>0.39571040653936118</v>
      </c>
      <c r="W68">
        <f t="shared" si="3"/>
        <v>18953.254390225335</v>
      </c>
      <c r="X68">
        <f t="shared" si="4"/>
        <v>0.99999999999999978</v>
      </c>
      <c r="Y68">
        <f t="shared" si="5"/>
        <v>1.0000000000000002</v>
      </c>
    </row>
    <row r="69" spans="1:25" x14ac:dyDescent="0.25">
      <c r="A69" t="s">
        <v>22</v>
      </c>
      <c r="B69" s="9">
        <v>45877</v>
      </c>
      <c r="C69" s="2">
        <v>55.277458190917969</v>
      </c>
      <c r="D69" s="3">
        <v>6.7473010795681729E-2</v>
      </c>
      <c r="E69" s="4">
        <v>0.70242450248423194</v>
      </c>
      <c r="F69" s="5">
        <v>7.0242450248423193E-3</v>
      </c>
      <c r="G69" s="4">
        <v>11.150643290229301</v>
      </c>
      <c r="H69" s="5">
        <v>0.11150643290229301</v>
      </c>
      <c r="I69" s="3">
        <v>0.12</v>
      </c>
      <c r="J69" s="2">
        <v>11301.48460930339</v>
      </c>
      <c r="K69" s="2">
        <v>1506864.6145737851</v>
      </c>
      <c r="L69" s="6">
        <v>17.562477915742221</v>
      </c>
      <c r="M69" s="7">
        <v>1.4843300699998441</v>
      </c>
      <c r="N69" s="6">
        <v>0.38828241068348479</v>
      </c>
      <c r="O69" s="2">
        <v>33923.397183046567</v>
      </c>
      <c r="P69" s="2">
        <v>3397.5034984085578</v>
      </c>
      <c r="Q69" s="2">
        <v>187805.3575867766</v>
      </c>
      <c r="R69" s="3">
        <v>0.1246331991410503</v>
      </c>
      <c r="S69" s="2">
        <v>1319.190848667648</v>
      </c>
      <c r="T69" s="7">
        <v>19315.837631681319</v>
      </c>
      <c r="U69" t="s">
        <v>55</v>
      </c>
      <c r="V69" s="5">
        <v>0.38828241068348479</v>
      </c>
      <c r="W69">
        <f t="shared" si="3"/>
        <v>19315.837631681326</v>
      </c>
      <c r="X69">
        <f t="shared" si="4"/>
        <v>0.99999999999999967</v>
      </c>
      <c r="Y69">
        <f t="shared" si="5"/>
        <v>1.0000000000000007</v>
      </c>
    </row>
    <row r="70" spans="1:25" x14ac:dyDescent="0.25">
      <c r="A70" t="s">
        <v>22</v>
      </c>
      <c r="B70" s="9">
        <v>45880</v>
      </c>
      <c r="C70" s="2">
        <v>55.326858520507813</v>
      </c>
      <c r="D70" s="3">
        <v>6.7473010795681729E-2</v>
      </c>
      <c r="E70" s="4">
        <v>0.68878494748929664</v>
      </c>
      <c r="F70" s="5">
        <v>6.8878494748929667E-3</v>
      </c>
      <c r="G70" s="4">
        <v>10.93412206716817</v>
      </c>
      <c r="H70" s="5">
        <v>0.1093412206716817</v>
      </c>
      <c r="I70" s="3">
        <v>0.12</v>
      </c>
      <c r="J70" s="2">
        <v>11279.37720360785</v>
      </c>
      <c r="K70" s="2">
        <v>1503916.9604810469</v>
      </c>
      <c r="L70" s="6">
        <v>18.098185804888988</v>
      </c>
      <c r="M70" s="7">
        <v>1.4842551265981201</v>
      </c>
      <c r="N70" s="6">
        <v>0.38108307340795722</v>
      </c>
      <c r="O70" s="2">
        <v>35618.583717928297</v>
      </c>
      <c r="P70" s="2">
        <v>3567.1000802620429</v>
      </c>
      <c r="Q70" s="2">
        <v>197356.4414691501</v>
      </c>
      <c r="R70" s="3">
        <v>0.13122828364541031</v>
      </c>
      <c r="S70" s="2">
        <v>1359.3614617400301</v>
      </c>
      <c r="T70" s="7">
        <v>19680.748171071609</v>
      </c>
      <c r="U70" t="s">
        <v>55</v>
      </c>
      <c r="V70" s="5">
        <v>0.38108307340795722</v>
      </c>
      <c r="W70">
        <f t="shared" si="3"/>
        <v>19680.748171071606</v>
      </c>
      <c r="X70">
        <f t="shared" si="4"/>
        <v>1.0000000000000002</v>
      </c>
      <c r="Y70">
        <f t="shared" si="5"/>
        <v>0.99999999999999978</v>
      </c>
    </row>
    <row r="71" spans="1:25" x14ac:dyDescent="0.25">
      <c r="A71" t="s">
        <v>22</v>
      </c>
      <c r="B71" s="9">
        <v>45881</v>
      </c>
      <c r="C71" s="2">
        <v>55.929523468017578</v>
      </c>
      <c r="D71" s="3">
        <v>6.7473010795681729E-2</v>
      </c>
      <c r="E71" s="4">
        <v>0.69636778363549634</v>
      </c>
      <c r="F71" s="5">
        <v>6.9636778363549633E-3</v>
      </c>
      <c r="G71" s="4">
        <v>11.05449585922055</v>
      </c>
      <c r="H71" s="5">
        <v>0.11054495859220551</v>
      </c>
      <c r="I71" s="3">
        <v>0.12</v>
      </c>
      <c r="J71" s="2">
        <v>11373.685554400859</v>
      </c>
      <c r="K71" s="2">
        <v>1516491.4072534479</v>
      </c>
      <c r="L71" s="6">
        <v>18.805763723153579</v>
      </c>
      <c r="M71" s="7">
        <v>1.484181372774201</v>
      </c>
      <c r="N71" s="6">
        <v>0.3894751829721288</v>
      </c>
      <c r="O71" s="2">
        <v>36213.662407790689</v>
      </c>
      <c r="P71" s="2">
        <v>3626.5153089257769</v>
      </c>
      <c r="Q71" s="2">
        <v>202829.27307768929</v>
      </c>
      <c r="R71" s="3">
        <v>0.13374904210307259</v>
      </c>
      <c r="S71" s="2">
        <v>1412.437713495093</v>
      </c>
      <c r="T71" s="7">
        <v>19256.682653735879</v>
      </c>
      <c r="U71" t="s">
        <v>55</v>
      </c>
      <c r="V71" s="5">
        <v>0.3894751829721288</v>
      </c>
      <c r="W71">
        <f t="shared" si="3"/>
        <v>19256.682653735879</v>
      </c>
      <c r="X71">
        <f t="shared" si="4"/>
        <v>1</v>
      </c>
      <c r="Y71">
        <f t="shared" si="5"/>
        <v>1</v>
      </c>
    </row>
    <row r="72" spans="1:25" x14ac:dyDescent="0.25">
      <c r="A72" t="s">
        <v>22</v>
      </c>
      <c r="B72" s="9">
        <v>45882</v>
      </c>
      <c r="C72" s="2">
        <v>56.127120971679688</v>
      </c>
      <c r="D72" s="3">
        <v>6.7473010795681729E-2</v>
      </c>
      <c r="E72" s="4">
        <v>0.68160484508447239</v>
      </c>
      <c r="F72" s="5">
        <v>6.8160484508447243E-3</v>
      </c>
      <c r="G72" s="4">
        <v>10.82014147506132</v>
      </c>
      <c r="H72" s="5">
        <v>0.10820141475061321</v>
      </c>
      <c r="I72" s="3">
        <v>0.12</v>
      </c>
      <c r="J72" s="2">
        <v>11457.40089493069</v>
      </c>
      <c r="K72" s="2">
        <v>1527653.452657426</v>
      </c>
      <c r="L72" s="6">
        <v>19.468558409290569</v>
      </c>
      <c r="M72" s="7">
        <v>1.4841087896459011</v>
      </c>
      <c r="N72" s="6">
        <v>0.38256517594939182</v>
      </c>
      <c r="O72" s="2">
        <v>38167.140463667027</v>
      </c>
      <c r="P72" s="2">
        <v>3821.9539514932171</v>
      </c>
      <c r="Q72" s="2">
        <v>214515.27178364899</v>
      </c>
      <c r="R72" s="3">
        <v>0.14042142307241831</v>
      </c>
      <c r="S72" s="2">
        <v>1462.1464859234759</v>
      </c>
      <c r="T72" s="7">
        <v>19604.502635106939</v>
      </c>
      <c r="U72" t="s">
        <v>55</v>
      </c>
      <c r="V72" s="5">
        <v>0.38256517594939171</v>
      </c>
      <c r="W72">
        <f t="shared" si="3"/>
        <v>19604.502635106935</v>
      </c>
      <c r="X72">
        <f t="shared" si="4"/>
        <v>1.0000000000000002</v>
      </c>
      <c r="Y72">
        <f t="shared" si="5"/>
        <v>1</v>
      </c>
    </row>
    <row r="73" spans="1:25" x14ac:dyDescent="0.25">
      <c r="A73" t="s">
        <v>22</v>
      </c>
      <c r="B73" s="9">
        <v>45883</v>
      </c>
      <c r="C73" s="2">
        <v>55.682529449462891</v>
      </c>
      <c r="D73" s="3">
        <v>6.7473010795681729E-2</v>
      </c>
      <c r="E73" s="4">
        <v>0.70716068475874627</v>
      </c>
      <c r="F73" s="5">
        <v>7.0716068475874631E-3</v>
      </c>
      <c r="G73" s="4">
        <v>11.22582785300272</v>
      </c>
      <c r="H73" s="5">
        <v>0.11225827853002721</v>
      </c>
      <c r="I73" s="3">
        <v>0.12</v>
      </c>
      <c r="J73" s="2">
        <v>11377.806941466981</v>
      </c>
      <c r="K73" s="2">
        <v>1517040.92552893</v>
      </c>
      <c r="L73" s="6">
        <v>17.437197724567071</v>
      </c>
      <c r="M73" s="7">
        <v>1.484037358630748</v>
      </c>
      <c r="N73" s="6">
        <v>0.39376495654581228</v>
      </c>
      <c r="O73" s="2">
        <v>33212.448380748079</v>
      </c>
      <c r="P73" s="2">
        <v>3325.6444486231489</v>
      </c>
      <c r="Q73" s="2">
        <v>185180.29494890131</v>
      </c>
      <c r="R73" s="3">
        <v>0.1220667760721989</v>
      </c>
      <c r="S73" s="2">
        <v>1309.522241798916</v>
      </c>
      <c r="T73" s="7">
        <v>19046.895553610331</v>
      </c>
      <c r="U73" t="s">
        <v>55</v>
      </c>
      <c r="V73" s="5">
        <v>0.39376495654581228</v>
      </c>
      <c r="W73">
        <f t="shared" si="3"/>
        <v>19046.895553610335</v>
      </c>
      <c r="X73">
        <f t="shared" si="4"/>
        <v>0.99999999999999978</v>
      </c>
      <c r="Y73">
        <f t="shared" si="5"/>
        <v>1.0000000000000004</v>
      </c>
    </row>
    <row r="74" spans="1:25" x14ac:dyDescent="0.25">
      <c r="A74" t="s">
        <v>22</v>
      </c>
      <c r="B74" s="9">
        <v>45884</v>
      </c>
      <c r="C74" s="2">
        <v>55.741806030273438</v>
      </c>
      <c r="D74" s="3">
        <v>6.7473010795681729E-2</v>
      </c>
      <c r="E74" s="4">
        <v>0.69325643362020839</v>
      </c>
      <c r="F74" s="5">
        <v>6.932564336202084E-3</v>
      </c>
      <c r="G74" s="4">
        <v>11.005104708927769</v>
      </c>
      <c r="H74" s="5">
        <v>0.1100510470892777</v>
      </c>
      <c r="I74" s="3">
        <v>0.12</v>
      </c>
      <c r="J74" s="2">
        <v>11395.888104956661</v>
      </c>
      <c r="K74" s="2">
        <v>1519451.747327555</v>
      </c>
      <c r="L74" s="6">
        <v>16.49409589032058</v>
      </c>
      <c r="M74" s="7">
        <v>1.4839670614412319</v>
      </c>
      <c r="N74" s="6">
        <v>0.38643365652096789</v>
      </c>
      <c r="O74" s="2">
        <v>32012.14932755012</v>
      </c>
      <c r="P74" s="2">
        <v>3205.3037023798952</v>
      </c>
      <c r="Q74" s="2">
        <v>178669.41724617741</v>
      </c>
      <c r="R74" s="3">
        <v>0.1175880823859166</v>
      </c>
      <c r="S74" s="2">
        <v>1238.6372299708589</v>
      </c>
      <c r="T74" s="7">
        <v>19408.247375557079</v>
      </c>
      <c r="U74" t="s">
        <v>55</v>
      </c>
      <c r="V74" s="5">
        <v>0.38643365652096789</v>
      </c>
      <c r="W74">
        <f t="shared" si="3"/>
        <v>19408.247375557075</v>
      </c>
      <c r="X74">
        <f t="shared" si="4"/>
        <v>1.0000000000000002</v>
      </c>
      <c r="Y74">
        <f t="shared" si="5"/>
        <v>0.99999999999999978</v>
      </c>
    </row>
    <row r="75" spans="1:25" x14ac:dyDescent="0.25">
      <c r="A75" t="s">
        <v>22</v>
      </c>
      <c r="B75" s="9">
        <v>45887</v>
      </c>
      <c r="C75" s="2">
        <v>55.672649383544922</v>
      </c>
      <c r="D75" s="3">
        <v>6.7473010795681729E-2</v>
      </c>
      <c r="E75" s="4">
        <v>0.68380185852559461</v>
      </c>
      <c r="F75" s="5">
        <v>6.8380185852559457E-3</v>
      </c>
      <c r="G75" s="4">
        <v>10.855017982214971</v>
      </c>
      <c r="H75" s="5">
        <v>0.10855017982214971</v>
      </c>
      <c r="I75" s="3">
        <v>0.12</v>
      </c>
      <c r="J75" s="2">
        <v>11390.214765752589</v>
      </c>
      <c r="K75" s="2">
        <v>1518695.302100346</v>
      </c>
      <c r="L75" s="6">
        <v>15.08398830243468</v>
      </c>
      <c r="M75" s="7">
        <v>1.483897880080121</v>
      </c>
      <c r="N75" s="6">
        <v>0.38069061117511821</v>
      </c>
      <c r="O75" s="2">
        <v>29717.021893198249</v>
      </c>
      <c r="P75" s="2">
        <v>2975.3590971775602</v>
      </c>
      <c r="Q75" s="2">
        <v>165646.1238073071</v>
      </c>
      <c r="R75" s="3">
        <v>0.1090713348347226</v>
      </c>
      <c r="S75" s="2">
        <v>1132.6912731699731</v>
      </c>
      <c r="T75" s="7">
        <v>19701.037482508309</v>
      </c>
      <c r="U75" t="s">
        <v>55</v>
      </c>
      <c r="V75" s="5">
        <v>0.38069061117511821</v>
      </c>
      <c r="W75">
        <f t="shared" si="3"/>
        <v>19701.037482508313</v>
      </c>
      <c r="X75">
        <f t="shared" si="4"/>
        <v>0.99999999999999978</v>
      </c>
      <c r="Y75">
        <f t="shared" si="5"/>
        <v>1</v>
      </c>
    </row>
    <row r="76" spans="1:25" x14ac:dyDescent="0.25">
      <c r="A76" t="s">
        <v>22</v>
      </c>
      <c r="B76" s="9">
        <v>45888</v>
      </c>
      <c r="C76" s="2">
        <v>55.366378784179688</v>
      </c>
      <c r="D76" s="3">
        <v>6.7473010795681729E-2</v>
      </c>
      <c r="E76" s="4">
        <v>0.69052189234087236</v>
      </c>
      <c r="F76" s="5">
        <v>6.9052189234087239E-3</v>
      </c>
      <c r="G76" s="4">
        <v>10.96169521187799</v>
      </c>
      <c r="H76" s="5">
        <v>0.10961695211877991</v>
      </c>
      <c r="I76" s="3">
        <v>0.12</v>
      </c>
      <c r="J76" s="2">
        <v>11354.148000599491</v>
      </c>
      <c r="K76" s="2">
        <v>1513886.4000799321</v>
      </c>
      <c r="L76" s="6">
        <v>10.031189828547969</v>
      </c>
      <c r="M76" s="7">
        <v>1.4838297968358529</v>
      </c>
      <c r="N76" s="6">
        <v>0.38231696650113289</v>
      </c>
      <c r="O76" s="2">
        <v>19678.416158882879</v>
      </c>
      <c r="P76" s="2">
        <v>1970.1727978407141</v>
      </c>
      <c r="Q76" s="2">
        <v>109081.333395536</v>
      </c>
      <c r="R76" s="3">
        <v>7.2053843267088344E-2</v>
      </c>
      <c r="S76" s="2">
        <v>753.23048755351147</v>
      </c>
      <c r="T76" s="7">
        <v>19617.230353750929</v>
      </c>
      <c r="U76" t="s">
        <v>55</v>
      </c>
      <c r="V76" s="5">
        <v>0.38231696650113289</v>
      </c>
      <c r="W76">
        <f t="shared" si="3"/>
        <v>19617.230353750925</v>
      </c>
      <c r="X76">
        <f t="shared" si="4"/>
        <v>1.0000000000000002</v>
      </c>
      <c r="Y76">
        <f t="shared" si="5"/>
        <v>0.99999999999999978</v>
      </c>
    </row>
    <row r="77" spans="1:25" x14ac:dyDescent="0.25">
      <c r="A77" t="s">
        <v>22</v>
      </c>
      <c r="B77" s="9">
        <v>45889</v>
      </c>
      <c r="C77" s="2">
        <v>55.534332275390632</v>
      </c>
      <c r="D77" s="3">
        <v>6.7473010795681729E-2</v>
      </c>
      <c r="E77" s="4">
        <v>0.67714090848001596</v>
      </c>
      <c r="F77" s="5">
        <v>6.7714090848001599E-3</v>
      </c>
      <c r="G77" s="4">
        <v>10.74927867831882</v>
      </c>
      <c r="H77" s="5">
        <v>0.1074927867831882</v>
      </c>
      <c r="I77" s="3">
        <v>0.12</v>
      </c>
      <c r="J77" s="2">
        <v>11354.820628671199</v>
      </c>
      <c r="K77" s="2">
        <v>1513976.0838228271</v>
      </c>
      <c r="L77" s="6">
        <v>9.8437520619893437</v>
      </c>
      <c r="M77" s="7">
        <v>1.4837627942780029</v>
      </c>
      <c r="N77" s="6">
        <v>0.37604568208789091</v>
      </c>
      <c r="O77" s="2">
        <v>19632.758460357662</v>
      </c>
      <c r="P77" s="2">
        <v>1965.512862161896</v>
      </c>
      <c r="Q77" s="2">
        <v>109153.4443788528</v>
      </c>
      <c r="R77" s="3">
        <v>7.2097205197084541E-2</v>
      </c>
      <c r="S77" s="2">
        <v>739.12262490419289</v>
      </c>
      <c r="T77" s="7">
        <v>19944.385369241041</v>
      </c>
      <c r="U77" t="s">
        <v>55</v>
      </c>
      <c r="V77" s="5">
        <v>0.3760456820878908</v>
      </c>
      <c r="W77">
        <f t="shared" si="3"/>
        <v>19944.385369241045</v>
      </c>
      <c r="X77">
        <f t="shared" si="4"/>
        <v>0.99999999999999978</v>
      </c>
      <c r="Y77">
        <f t="shared" si="5"/>
        <v>1.0000000000000004</v>
      </c>
    </row>
    <row r="78" spans="1:25" x14ac:dyDescent="0.25">
      <c r="A78" t="s">
        <v>22</v>
      </c>
      <c r="B78" s="9">
        <v>45890</v>
      </c>
      <c r="C78" s="2">
        <v>55.791210174560547</v>
      </c>
      <c r="D78" s="3">
        <v>6.7473010795681729E-2</v>
      </c>
      <c r="E78" s="4">
        <v>0.66587414786713683</v>
      </c>
      <c r="F78" s="5">
        <v>6.6587414786713683E-3</v>
      </c>
      <c r="G78" s="4">
        <v>10.57042439834097</v>
      </c>
      <c r="H78" s="5">
        <v>0.1057042439834097</v>
      </c>
      <c r="I78" s="3">
        <v>0.12</v>
      </c>
      <c r="J78" s="2">
        <v>11306.542477218391</v>
      </c>
      <c r="K78" s="2">
        <v>1507538.9969624509</v>
      </c>
      <c r="L78" s="6">
        <v>12.133749541355099</v>
      </c>
      <c r="M78" s="7">
        <v>1.483696855252816</v>
      </c>
      <c r="N78" s="6">
        <v>0.37149924533461842</v>
      </c>
      <c r="O78" s="2">
        <v>24496.17938744252</v>
      </c>
      <c r="P78" s="2">
        <v>2452.300121758039</v>
      </c>
      <c r="Q78" s="2">
        <v>136816.7915041032</v>
      </c>
      <c r="R78" s="3">
        <v>9.0755059590349615E-2</v>
      </c>
      <c r="S78" s="2">
        <v>911.02764456710418</v>
      </c>
      <c r="T78" s="7">
        <v>20188.466313692159</v>
      </c>
      <c r="U78" t="s">
        <v>55</v>
      </c>
      <c r="V78" s="5">
        <v>0.37149924533461842</v>
      </c>
      <c r="W78">
        <f t="shared" si="3"/>
        <v>20188.466313692155</v>
      </c>
      <c r="X78">
        <f t="shared" si="4"/>
        <v>1.0000000000000002</v>
      </c>
      <c r="Y78">
        <f t="shared" si="5"/>
        <v>0.99999999999999967</v>
      </c>
    </row>
    <row r="79" spans="1:25" x14ac:dyDescent="0.25">
      <c r="A79" t="s">
        <v>22</v>
      </c>
      <c r="B79" s="9">
        <v>45891</v>
      </c>
      <c r="C79" s="2">
        <v>56.650749206542969</v>
      </c>
      <c r="D79" s="3">
        <v>6.7473010795681729E-2</v>
      </c>
      <c r="E79" s="4">
        <v>0.70602204530448665</v>
      </c>
      <c r="F79" s="5">
        <v>7.0602204530448662E-3</v>
      </c>
      <c r="G79" s="4">
        <v>11.207752512029099</v>
      </c>
      <c r="H79" s="5">
        <v>0.112077525120291</v>
      </c>
      <c r="I79" s="3">
        <v>0.12</v>
      </c>
      <c r="J79" s="2">
        <v>11463.74900578402</v>
      </c>
      <c r="K79" s="2">
        <v>1528499.8674378691</v>
      </c>
      <c r="L79" s="6">
        <v>16.73139837264355</v>
      </c>
      <c r="M79" s="7">
        <v>1.483631962878823</v>
      </c>
      <c r="N79" s="6">
        <v>0.39996677822834992</v>
      </c>
      <c r="O79" s="2">
        <v>31373.977696513619</v>
      </c>
      <c r="P79" s="2">
        <v>3140.6956593943842</v>
      </c>
      <c r="Q79" s="2">
        <v>177922.76213442939</v>
      </c>
      <c r="R79" s="3">
        <v>0.1164035181976629</v>
      </c>
      <c r="S79" s="2">
        <v>1256.173924283735</v>
      </c>
      <c r="T79" s="7">
        <v>18751.55739989506</v>
      </c>
      <c r="U79" t="s">
        <v>55</v>
      </c>
      <c r="V79" s="5">
        <v>0.39996677822834992</v>
      </c>
      <c r="W79">
        <f t="shared" si="3"/>
        <v>18751.557399895057</v>
      </c>
      <c r="X79">
        <f t="shared" si="4"/>
        <v>1.0000000000000002</v>
      </c>
      <c r="Y79">
        <f t="shared" si="5"/>
        <v>0.99999999999999978</v>
      </c>
    </row>
    <row r="80" spans="1:25" x14ac:dyDescent="0.25">
      <c r="A80" t="s">
        <v>22</v>
      </c>
      <c r="B80" s="9">
        <v>45894</v>
      </c>
      <c r="C80" s="2">
        <v>55.919643402099609</v>
      </c>
      <c r="D80" s="3">
        <v>6.7473010795681729E-2</v>
      </c>
      <c r="E80" s="4">
        <v>0.76736792788453811</v>
      </c>
      <c r="F80" s="5">
        <v>7.6736792788453809E-3</v>
      </c>
      <c r="G80" s="4">
        <v>12.18158820761661</v>
      </c>
      <c r="H80" s="5">
        <v>0.1218158820761661</v>
      </c>
      <c r="I80" s="3">
        <v>0.12</v>
      </c>
      <c r="J80" s="2">
        <v>11392.93646668172</v>
      </c>
      <c r="K80" s="2">
        <v>1519058.1955575631</v>
      </c>
      <c r="L80" s="6">
        <v>12.80254526123105</v>
      </c>
      <c r="M80" s="7">
        <v>1.483568100542513</v>
      </c>
      <c r="N80" s="6">
        <v>0.42910940885511462</v>
      </c>
      <c r="O80" s="2">
        <v>22376.36543915842</v>
      </c>
      <c r="P80" s="2">
        <v>2239.8922262059618</v>
      </c>
      <c r="Q80" s="2">
        <v>125253.9745485724</v>
      </c>
      <c r="R80" s="3">
        <v>8.2455020429680517E-2</v>
      </c>
      <c r="S80" s="2">
        <v>961.15882908640708</v>
      </c>
      <c r="T80" s="7">
        <v>17478.060012737489</v>
      </c>
      <c r="U80" t="s">
        <v>55</v>
      </c>
      <c r="V80" s="5">
        <v>0.42910940885511462</v>
      </c>
      <c r="W80">
        <f t="shared" si="3"/>
        <v>17478.060012737486</v>
      </c>
      <c r="X80">
        <f t="shared" si="4"/>
        <v>1.0000000000000002</v>
      </c>
      <c r="Y80">
        <f t="shared" si="5"/>
        <v>0.99999999999999978</v>
      </c>
    </row>
    <row r="81" spans="1:25" x14ac:dyDescent="0.25">
      <c r="A81" t="s">
        <v>22</v>
      </c>
      <c r="B81" s="9">
        <v>45895</v>
      </c>
      <c r="C81" s="2">
        <v>56.127120971679688</v>
      </c>
      <c r="D81" s="3">
        <v>6.7473010795681729E-2</v>
      </c>
      <c r="E81" s="4">
        <v>0.75138942203770887</v>
      </c>
      <c r="F81" s="5">
        <v>7.5138942203770882E-3</v>
      </c>
      <c r="G81" s="4">
        <v>11.927937290858001</v>
      </c>
      <c r="H81" s="5">
        <v>0.11927937290858</v>
      </c>
      <c r="I81" s="3">
        <v>0.12</v>
      </c>
      <c r="J81" s="2">
        <v>11418.91422183716</v>
      </c>
      <c r="K81" s="2">
        <v>1522521.8962449541</v>
      </c>
      <c r="L81" s="6">
        <v>13.035875283600779</v>
      </c>
      <c r="M81" s="7">
        <v>1.4835052518940799</v>
      </c>
      <c r="N81" s="6">
        <v>0.42173324987550959</v>
      </c>
      <c r="O81" s="2">
        <v>23182.678779979069</v>
      </c>
      <c r="P81" s="2">
        <v>2320.5065337064161</v>
      </c>
      <c r="Q81" s="2">
        <v>130243.3509329131</v>
      </c>
      <c r="R81" s="3">
        <v>8.5544484617355296E-2</v>
      </c>
      <c r="S81" s="2">
        <v>978.63476181736064</v>
      </c>
      <c r="T81" s="7">
        <v>17783.75312407524</v>
      </c>
      <c r="U81" t="s">
        <v>55</v>
      </c>
      <c r="V81" s="5">
        <v>0.42173324987550959</v>
      </c>
      <c r="W81">
        <f t="shared" si="3"/>
        <v>17783.753124075243</v>
      </c>
      <c r="X81">
        <f t="shared" si="4"/>
        <v>0.99999999999999978</v>
      </c>
      <c r="Y81">
        <f t="shared" si="5"/>
        <v>1.0000000000000004</v>
      </c>
    </row>
    <row r="82" spans="1:25" x14ac:dyDescent="0.25">
      <c r="A82" t="s">
        <v>22</v>
      </c>
      <c r="B82" s="9">
        <v>45896</v>
      </c>
      <c r="C82" s="2">
        <v>55.998683929443359</v>
      </c>
      <c r="D82" s="3">
        <v>6.7473010795681729E-2</v>
      </c>
      <c r="E82" s="4">
        <v>0.74247286886369135</v>
      </c>
      <c r="F82" s="5">
        <v>7.4247286886369133E-3</v>
      </c>
      <c r="G82" s="4">
        <v>11.786391397356001</v>
      </c>
      <c r="H82" s="5">
        <v>0.11786391397356</v>
      </c>
      <c r="I82" s="3">
        <v>0.12</v>
      </c>
      <c r="J82" s="2">
        <v>11413.93726302697</v>
      </c>
      <c r="K82" s="2">
        <v>1521858.301736929</v>
      </c>
      <c r="L82" s="6">
        <v>12.11881898389179</v>
      </c>
      <c r="M82" s="7">
        <v>1.483443400843242</v>
      </c>
      <c r="N82" s="6">
        <v>0.41577503509684899</v>
      </c>
      <c r="O82" s="2">
        <v>21860.6541294661</v>
      </c>
      <c r="P82" s="2">
        <v>2188.0851756282891</v>
      </c>
      <c r="Q82" s="2">
        <v>122529.8901607091</v>
      </c>
      <c r="R82" s="3">
        <v>8.0513336899278434E-2</v>
      </c>
      <c r="S82" s="2">
        <v>909.75119069174684</v>
      </c>
      <c r="T82" s="7">
        <v>18038.601086890609</v>
      </c>
      <c r="U82" t="s">
        <v>55</v>
      </c>
      <c r="V82" s="5">
        <v>0.41577503509684899</v>
      </c>
      <c r="W82">
        <f t="shared" si="3"/>
        <v>18038.601086890605</v>
      </c>
      <c r="X82">
        <f t="shared" si="4"/>
        <v>1.0000000000000002</v>
      </c>
      <c r="Y82">
        <f t="shared" si="5"/>
        <v>0.99999999999999978</v>
      </c>
    </row>
    <row r="83" spans="1:25" x14ac:dyDescent="0.25">
      <c r="A83" t="s">
        <v>22</v>
      </c>
      <c r="B83" s="9">
        <v>45897</v>
      </c>
      <c r="C83" s="2">
        <v>56.245677947998047</v>
      </c>
      <c r="D83" s="3">
        <v>6.7473010795681729E-2</v>
      </c>
      <c r="E83" s="4">
        <v>0.72813626211224025</v>
      </c>
      <c r="F83" s="5">
        <v>7.2813626211224022E-3</v>
      </c>
      <c r="G83" s="4">
        <v>11.558804820702781</v>
      </c>
      <c r="H83" s="5">
        <v>0.1155880482070278</v>
      </c>
      <c r="I83" s="3">
        <v>0.12</v>
      </c>
      <c r="J83" s="2">
        <v>11469.880784424549</v>
      </c>
      <c r="K83" s="2">
        <v>1529317.437923274</v>
      </c>
      <c r="L83" s="6">
        <v>13.557192747978601</v>
      </c>
      <c r="M83" s="7">
        <v>1.483382531555115</v>
      </c>
      <c r="N83" s="6">
        <v>0.40954517701024162</v>
      </c>
      <c r="O83" s="2">
        <v>24827.28434311333</v>
      </c>
      <c r="P83" s="2">
        <v>2484.9203251684212</v>
      </c>
      <c r="Q83" s="2">
        <v>139766.02833585761</v>
      </c>
      <c r="R83" s="3">
        <v>9.139111663151632E-2</v>
      </c>
      <c r="S83" s="2">
        <v>1017.687134427448</v>
      </c>
      <c r="T83" s="7">
        <v>18312.997981691391</v>
      </c>
      <c r="U83" t="s">
        <v>55</v>
      </c>
      <c r="V83" s="5">
        <v>0.40954517701024162</v>
      </c>
      <c r="W83">
        <f t="shared" si="3"/>
        <v>18312.997981691398</v>
      </c>
      <c r="X83">
        <f t="shared" si="4"/>
        <v>0.99999999999999956</v>
      </c>
      <c r="Y83">
        <f t="shared" si="5"/>
        <v>1.0000000000000002</v>
      </c>
    </row>
    <row r="84" spans="1:25" x14ac:dyDescent="0.25">
      <c r="A84" t="s">
        <v>22</v>
      </c>
      <c r="B84" s="9">
        <v>45898</v>
      </c>
      <c r="C84" s="2">
        <v>56.235797882080078</v>
      </c>
      <c r="D84" s="3">
        <v>6.7473010795681729E-2</v>
      </c>
      <c r="E84" s="4">
        <v>0.71523943482668539</v>
      </c>
      <c r="F84" s="5">
        <v>7.152394348266854E-3</v>
      </c>
      <c r="G84" s="4">
        <v>11.3540740345068</v>
      </c>
      <c r="H84" s="5">
        <v>0.113540740345068</v>
      </c>
      <c r="I84" s="3">
        <v>0.12</v>
      </c>
      <c r="J84" s="2">
        <v>11463.95319338294</v>
      </c>
      <c r="K84" s="2">
        <v>1528527.092451059</v>
      </c>
      <c r="L84" s="6">
        <v>13.94295978985277</v>
      </c>
      <c r="M84" s="7">
        <v>1.483322628446164</v>
      </c>
      <c r="N84" s="6">
        <v>0.40222060294206669</v>
      </c>
      <c r="O84" s="2">
        <v>25998.71753435706</v>
      </c>
      <c r="P84" s="2">
        <v>2602.0619821976952</v>
      </c>
      <c r="Q84" s="2">
        <v>146329.03170751431</v>
      </c>
      <c r="R84" s="3">
        <v>9.5732049781904305E-2</v>
      </c>
      <c r="S84" s="2">
        <v>1046.602939372186</v>
      </c>
      <c r="T84" s="7">
        <v>18646.483907439851</v>
      </c>
      <c r="U84" t="s">
        <v>55</v>
      </c>
      <c r="V84" s="5">
        <v>0.40222060294206669</v>
      </c>
      <c r="W84">
        <f t="shared" si="3"/>
        <v>18646.483907439851</v>
      </c>
      <c r="X84">
        <f t="shared" si="4"/>
        <v>1</v>
      </c>
      <c r="Y84">
        <f t="shared" si="5"/>
        <v>1</v>
      </c>
    </row>
    <row r="85" spans="1:25" x14ac:dyDescent="0.25">
      <c r="A85" t="s">
        <v>22</v>
      </c>
      <c r="B85" s="9">
        <v>45901</v>
      </c>
      <c r="D85" s="3">
        <v>6.7473010795681729E-2</v>
      </c>
      <c r="E85" s="4">
        <v>0.71518135066462962</v>
      </c>
      <c r="F85" s="5">
        <v>7.151813506646296E-3</v>
      </c>
      <c r="G85" s="4">
        <v>11.35315197701933</v>
      </c>
      <c r="H85" s="5">
        <v>0.1135315197701933</v>
      </c>
      <c r="I85" s="3">
        <v>0.12</v>
      </c>
      <c r="J85" s="2">
        <v>11463.82361007731</v>
      </c>
      <c r="K85" s="2">
        <v>1528509.8146769749</v>
      </c>
      <c r="L85" s="6">
        <v>13.94126097374404</v>
      </c>
      <c r="M85" s="7">
        <v>1.483263676180214</v>
      </c>
      <c r="O85" s="2">
        <v>25997.66109397254</v>
      </c>
      <c r="P85" s="2">
        <v>2601.8528386051948</v>
      </c>
      <c r="T85" s="7">
        <v>18647.99830010689</v>
      </c>
      <c r="U85" t="s">
        <v>55</v>
      </c>
      <c r="V85" s="5">
        <v>0.40218793885009152</v>
      </c>
      <c r="W85" t="e">
        <f t="shared" si="3"/>
        <v>#DIV/0!</v>
      </c>
      <c r="X85" t="e">
        <f t="shared" si="4"/>
        <v>#DIV/0!</v>
      </c>
      <c r="Y85">
        <f t="shared" si="5"/>
        <v>1</v>
      </c>
    </row>
    <row r="86" spans="1:25" x14ac:dyDescent="0.25">
      <c r="A86" t="s">
        <v>22</v>
      </c>
      <c r="B86" s="9">
        <v>45902</v>
      </c>
      <c r="C86" s="2">
        <v>55.840606689453118</v>
      </c>
      <c r="D86" s="3">
        <v>6.7473010795681729E-2</v>
      </c>
      <c r="E86" s="4">
        <v>0.72018436063991476</v>
      </c>
      <c r="F86" s="5">
        <v>7.2018436063991473E-3</v>
      </c>
      <c r="G86" s="4">
        <v>11.43257229822761</v>
      </c>
      <c r="H86" s="5">
        <v>0.1143257229822761</v>
      </c>
      <c r="I86" s="3">
        <v>0.12</v>
      </c>
      <c r="J86" s="2">
        <v>11424.416024891259</v>
      </c>
      <c r="K86" s="2">
        <v>1523255.4699855009</v>
      </c>
      <c r="L86" s="6">
        <v>8.962493272979243</v>
      </c>
      <c r="M86" s="7">
        <v>1.483205659664516</v>
      </c>
      <c r="N86" s="6">
        <v>0.40215531626388751</v>
      </c>
      <c r="O86" s="2">
        <v>16714.611700728219</v>
      </c>
      <c r="P86" s="2">
        <v>1672.7373555351121</v>
      </c>
      <c r="Q86" s="2">
        <v>93406.668765192124</v>
      </c>
      <c r="R86" s="3">
        <v>6.1320422349168527E-2</v>
      </c>
      <c r="S86" s="2">
        <v>672.70022024164189</v>
      </c>
      <c r="T86" s="7">
        <v>18649.511013994968</v>
      </c>
      <c r="U86" t="s">
        <v>55</v>
      </c>
      <c r="V86" s="5">
        <v>0.40215531626388751</v>
      </c>
      <c r="W86">
        <f t="shared" si="3"/>
        <v>18649.511013994972</v>
      </c>
      <c r="X86">
        <f t="shared" si="4"/>
        <v>0.99999999999999978</v>
      </c>
      <c r="Y86">
        <f t="shared" si="5"/>
        <v>1</v>
      </c>
    </row>
    <row r="87" spans="1:25" x14ac:dyDescent="0.25">
      <c r="A87" t="s">
        <v>22</v>
      </c>
      <c r="B87" s="9">
        <v>45903</v>
      </c>
      <c r="C87" s="2">
        <v>55.49481201171875</v>
      </c>
      <c r="D87" s="3">
        <v>6.7473010795681729E-2</v>
      </c>
      <c r="E87" s="4">
        <v>0.72800469041967253</v>
      </c>
      <c r="F87" s="5">
        <v>7.2800469041967254E-3</v>
      </c>
      <c r="G87" s="4">
        <v>11.556716184834119</v>
      </c>
      <c r="H87" s="5">
        <v>0.1155671618483412</v>
      </c>
      <c r="I87" s="3">
        <v>0.12</v>
      </c>
      <c r="J87" s="2">
        <v>11486.59789577323</v>
      </c>
      <c r="K87" s="2">
        <v>1531546.3861030969</v>
      </c>
      <c r="L87" s="6">
        <v>4.851608907008508</v>
      </c>
      <c r="M87" s="7">
        <v>1.483148564045893</v>
      </c>
      <c r="N87" s="6">
        <v>0.40400483438489232</v>
      </c>
      <c r="O87" s="2">
        <v>9006.5919280307735</v>
      </c>
      <c r="P87" s="2">
        <v>901.31216237737988</v>
      </c>
      <c r="Q87" s="2">
        <v>50018.149015008421</v>
      </c>
      <c r="R87" s="3">
        <v>3.265859230178185E-2</v>
      </c>
      <c r="S87" s="2">
        <v>364.13447089036248</v>
      </c>
      <c r="T87" s="7">
        <v>18564.13429165753</v>
      </c>
      <c r="U87" t="s">
        <v>55</v>
      </c>
      <c r="V87" s="5">
        <v>0.40400483438489232</v>
      </c>
      <c r="W87">
        <f t="shared" si="3"/>
        <v>18564.134291657527</v>
      </c>
      <c r="X87">
        <f t="shared" si="4"/>
        <v>1.0000000000000002</v>
      </c>
      <c r="Y87">
        <f t="shared" si="5"/>
        <v>0.99999999999999978</v>
      </c>
    </row>
    <row r="88" spans="1:25" x14ac:dyDescent="0.25">
      <c r="A88" t="s">
        <v>22</v>
      </c>
      <c r="B88" s="9">
        <v>45904</v>
      </c>
      <c r="C88" s="2">
        <v>55.840606689453118</v>
      </c>
      <c r="D88" s="3">
        <v>6.7473010795681729E-2</v>
      </c>
      <c r="E88" s="4">
        <v>0.71802320687915577</v>
      </c>
      <c r="F88" s="5">
        <v>7.1802320687915566E-3</v>
      </c>
      <c r="G88" s="4">
        <v>11.39826504585197</v>
      </c>
      <c r="H88" s="5">
        <v>0.1139826504585197</v>
      </c>
      <c r="I88" s="3">
        <v>0.12</v>
      </c>
      <c r="J88" s="2">
        <v>11516.613082889749</v>
      </c>
      <c r="K88" s="2">
        <v>1535548.4110519669</v>
      </c>
      <c r="L88" s="6">
        <v>6.3930314313142151</v>
      </c>
      <c r="M88" s="7">
        <v>1.48309237470693</v>
      </c>
      <c r="N88" s="6">
        <v>0.4009485148923877</v>
      </c>
      <c r="O88" s="2">
        <v>11958.576713452971</v>
      </c>
      <c r="P88" s="2">
        <v>1196.679318962905</v>
      </c>
      <c r="Q88" s="2">
        <v>66823.29918361023</v>
      </c>
      <c r="R88" s="3">
        <v>4.3517546371482502E-2</v>
      </c>
      <c r="S88" s="2">
        <v>479.80679574061088</v>
      </c>
      <c r="T88" s="7">
        <v>18705.64354631157</v>
      </c>
      <c r="U88" t="s">
        <v>55</v>
      </c>
      <c r="V88" s="5">
        <v>0.4009485148923877</v>
      </c>
      <c r="W88">
        <f t="shared" si="3"/>
        <v>18705.643546311574</v>
      </c>
      <c r="X88">
        <f t="shared" si="4"/>
        <v>0.99999999999999978</v>
      </c>
      <c r="Y88">
        <f t="shared" si="5"/>
        <v>1</v>
      </c>
    </row>
    <row r="89" spans="1:25" x14ac:dyDescent="0.25">
      <c r="A89" t="s">
        <v>22</v>
      </c>
      <c r="B89" s="9">
        <v>45905</v>
      </c>
      <c r="C89" s="2">
        <v>55.998683929443359</v>
      </c>
      <c r="D89" s="3">
        <v>6.7473010795681729E-2</v>
      </c>
      <c r="E89" s="4">
        <v>0.70235269581458681</v>
      </c>
      <c r="F89" s="5">
        <v>7.0235269581458678E-3</v>
      </c>
      <c r="G89" s="4">
        <v>11.14950339468716</v>
      </c>
      <c r="H89" s="5">
        <v>0.1114950339468716</v>
      </c>
      <c r="I89" s="3">
        <v>0.12</v>
      </c>
      <c r="J89" s="2">
        <v>11595.659926064451</v>
      </c>
      <c r="K89" s="2">
        <v>1546087.9901419261</v>
      </c>
      <c r="L89" s="6">
        <v>10.035352392456881</v>
      </c>
      <c r="M89" s="7">
        <v>1.483037077262237</v>
      </c>
      <c r="N89" s="6">
        <v>0.39330826619913523</v>
      </c>
      <c r="O89" s="2">
        <v>19136.42539750721</v>
      </c>
      <c r="P89" s="2">
        <v>1914.885962000983</v>
      </c>
      <c r="Q89" s="2">
        <v>107231.09374702119</v>
      </c>
      <c r="R89" s="3">
        <v>6.9356397844586887E-2</v>
      </c>
      <c r="S89" s="2">
        <v>753.14047768366993</v>
      </c>
      <c r="T89" s="7">
        <v>19069.011878338421</v>
      </c>
      <c r="U89" t="s">
        <v>55</v>
      </c>
      <c r="V89" s="5">
        <v>0.39330826619913523</v>
      </c>
      <c r="W89">
        <f t="shared" si="3"/>
        <v>19069.011878338424</v>
      </c>
      <c r="X89">
        <f t="shared" si="4"/>
        <v>0.99999999999999978</v>
      </c>
      <c r="Y89">
        <f t="shared" si="5"/>
        <v>1.0000000000000002</v>
      </c>
    </row>
    <row r="90" spans="1:25" x14ac:dyDescent="0.25">
      <c r="A90" t="s">
        <v>22</v>
      </c>
      <c r="B90" s="9">
        <v>45908</v>
      </c>
      <c r="C90" s="2">
        <v>56.295078277587891</v>
      </c>
      <c r="D90" s="3">
        <v>6.7473010795681729E-2</v>
      </c>
      <c r="E90" s="4">
        <v>0.69013159937101964</v>
      </c>
      <c r="F90" s="5">
        <v>6.9013159937101956E-3</v>
      </c>
      <c r="G90" s="4">
        <v>10.955499503057871</v>
      </c>
      <c r="H90" s="5">
        <v>0.10955499503057869</v>
      </c>
      <c r="I90" s="3">
        <v>0.12</v>
      </c>
      <c r="J90" s="2">
        <v>11652.8270801252</v>
      </c>
      <c r="K90" s="2">
        <v>1553710.2773500271</v>
      </c>
      <c r="L90" s="6">
        <v>14.37102023936159</v>
      </c>
      <c r="M90" s="7">
        <v>1.4829826575547611</v>
      </c>
      <c r="N90" s="6">
        <v>0.38851012408428481</v>
      </c>
      <c r="O90" s="2">
        <v>27742.559360391118</v>
      </c>
      <c r="P90" s="2">
        <v>2775.9566898529561</v>
      </c>
      <c r="Q90" s="2">
        <v>156272.69915046589</v>
      </c>
      <c r="R90" s="3">
        <v>0.1005803343317012</v>
      </c>
      <c r="S90" s="2">
        <v>1078.487278027372</v>
      </c>
      <c r="T90" s="7">
        <v>19304.51624054183</v>
      </c>
      <c r="U90" t="s">
        <v>55</v>
      </c>
      <c r="V90" s="5">
        <v>0.38851012408428481</v>
      </c>
      <c r="W90">
        <f t="shared" si="3"/>
        <v>19304.516240541841</v>
      </c>
      <c r="X90">
        <f t="shared" si="4"/>
        <v>0.99999999999999944</v>
      </c>
      <c r="Y90">
        <f t="shared" si="5"/>
        <v>1.0000000000000002</v>
      </c>
    </row>
    <row r="91" spans="1:25" x14ac:dyDescent="0.25">
      <c r="A91" t="s">
        <v>22</v>
      </c>
      <c r="B91" s="9">
        <v>45909</v>
      </c>
      <c r="C91" s="2">
        <v>56.127120971679688</v>
      </c>
      <c r="D91" s="3">
        <v>6.7473010795681729E-2</v>
      </c>
      <c r="E91" s="4">
        <v>0.68534826646705604</v>
      </c>
      <c r="F91" s="5">
        <v>6.8534826646705601E-3</v>
      </c>
      <c r="G91" s="4">
        <v>10.879566447246351</v>
      </c>
      <c r="H91" s="5">
        <v>0.1087956644724635</v>
      </c>
      <c r="I91" s="3">
        <v>0.12</v>
      </c>
      <c r="J91" s="2">
        <v>11624.630947561491</v>
      </c>
      <c r="K91" s="2">
        <v>1549950.793008198</v>
      </c>
      <c r="L91" s="6">
        <v>13.989400522326189</v>
      </c>
      <c r="M91" s="7">
        <v>1.482929101652166</v>
      </c>
      <c r="N91" s="6">
        <v>0.38466625059727422</v>
      </c>
      <c r="O91" s="2">
        <v>27275.723761711761</v>
      </c>
      <c r="P91" s="2">
        <v>2729.1459477370222</v>
      </c>
      <c r="Q91" s="2">
        <v>153179.10475800521</v>
      </c>
      <c r="R91" s="3">
        <v>9.8828366325559205E-2</v>
      </c>
      <c r="S91" s="2">
        <v>1049.8103390487449</v>
      </c>
      <c r="T91" s="7">
        <v>19497.421435737331</v>
      </c>
      <c r="U91" t="s">
        <v>55</v>
      </c>
      <c r="V91" s="5">
        <v>0.38466625059727422</v>
      </c>
      <c r="W91">
        <f t="shared" si="3"/>
        <v>19497.421435737328</v>
      </c>
      <c r="X91">
        <f t="shared" si="4"/>
        <v>1.0000000000000002</v>
      </c>
      <c r="Y91">
        <f t="shared" si="5"/>
        <v>0.99999999999999967</v>
      </c>
    </row>
    <row r="92" spans="1:25" x14ac:dyDescent="0.25">
      <c r="A92" t="s">
        <v>22</v>
      </c>
      <c r="B92" s="9">
        <v>45910</v>
      </c>
      <c r="C92" s="2">
        <v>56.601352691650391</v>
      </c>
      <c r="D92" s="3">
        <v>6.7473010795681729E-2</v>
      </c>
      <c r="E92" s="4">
        <v>0.68391747799834823</v>
      </c>
      <c r="F92" s="5">
        <v>6.8391747799834823E-3</v>
      </c>
      <c r="G92" s="4">
        <v>10.85685338444471</v>
      </c>
      <c r="H92" s="5">
        <v>0.1085685338444471</v>
      </c>
      <c r="I92" s="3">
        <v>0.12</v>
      </c>
      <c r="J92" s="2">
        <v>11686.273770181981</v>
      </c>
      <c r="K92" s="2">
        <v>1558169.8360242629</v>
      </c>
      <c r="L92" s="6">
        <v>16.344008651983611</v>
      </c>
      <c r="M92" s="7">
        <v>1.482876395843262</v>
      </c>
      <c r="N92" s="6">
        <v>0.38710654384168552</v>
      </c>
      <c r="O92" s="2">
        <v>31665.717575678191</v>
      </c>
      <c r="P92" s="2">
        <v>3168.2859832738459</v>
      </c>
      <c r="Q92" s="2">
        <v>179329.27236729531</v>
      </c>
      <c r="R92" s="3">
        <v>0.11508968292240949</v>
      </c>
      <c r="S92" s="2">
        <v>1226.4642368871951</v>
      </c>
      <c r="T92" s="7">
        <v>19374.511021098271</v>
      </c>
      <c r="U92" t="s">
        <v>55</v>
      </c>
      <c r="V92" s="5">
        <v>0.38710654384168552</v>
      </c>
      <c r="W92">
        <f t="shared" si="3"/>
        <v>19374.511021098278</v>
      </c>
      <c r="X92">
        <f t="shared" si="4"/>
        <v>0.99999999999999967</v>
      </c>
      <c r="Y92">
        <f t="shared" si="5"/>
        <v>1.0000000000000004</v>
      </c>
    </row>
    <row r="93" spans="1:25" x14ac:dyDescent="0.25">
      <c r="A93" t="s">
        <v>22</v>
      </c>
      <c r="B93" s="9">
        <v>45911</v>
      </c>
      <c r="C93" s="2">
        <v>57.184261322021491</v>
      </c>
      <c r="D93" s="3">
        <v>6.7473010795681729E-2</v>
      </c>
      <c r="E93" s="4">
        <v>0.68850454151058915</v>
      </c>
      <c r="F93" s="5">
        <v>6.8850454151058917E-3</v>
      </c>
      <c r="G93" s="4">
        <v>10.9296707602534</v>
      </c>
      <c r="H93" s="5">
        <v>0.109296707602534</v>
      </c>
      <c r="I93" s="3">
        <v>0.12</v>
      </c>
      <c r="J93" s="2">
        <v>11802.20132902942</v>
      </c>
      <c r="K93" s="2">
        <v>1573626.84387059</v>
      </c>
      <c r="L93" s="6">
        <v>17.881346436974159</v>
      </c>
      <c r="M93" s="7">
        <v>1.4828245266344999</v>
      </c>
      <c r="N93" s="6">
        <v>0.39371623623140117</v>
      </c>
      <c r="O93" s="2">
        <v>34062.628343953998</v>
      </c>
      <c r="P93" s="2">
        <v>3407.98760560133</v>
      </c>
      <c r="Q93" s="2">
        <v>194883.25382091681</v>
      </c>
      <c r="R93" s="3">
        <v>0.1238433714956018</v>
      </c>
      <c r="S93" s="2">
        <v>1341.7800532006211</v>
      </c>
      <c r="T93" s="7">
        <v>19049.252506802841</v>
      </c>
      <c r="U93" t="s">
        <v>55</v>
      </c>
      <c r="V93" s="5">
        <v>0.39371623623140117</v>
      </c>
      <c r="W93">
        <f t="shared" si="3"/>
        <v>19049.252506802841</v>
      </c>
      <c r="X93">
        <f t="shared" si="4"/>
        <v>1</v>
      </c>
      <c r="Y93">
        <f t="shared" si="5"/>
        <v>1.0000000000000002</v>
      </c>
    </row>
    <row r="94" spans="1:25" x14ac:dyDescent="0.25">
      <c r="A94" t="s">
        <v>22</v>
      </c>
      <c r="B94" s="9">
        <v>45912</v>
      </c>
      <c r="C94" s="2">
        <v>56.838462829589837</v>
      </c>
      <c r="D94" s="3">
        <v>6.7473010795681729E-2</v>
      </c>
      <c r="E94" s="4">
        <v>0.70129023657723355</v>
      </c>
      <c r="F94" s="5">
        <v>7.0129023657723357E-3</v>
      </c>
      <c r="G94" s="4">
        <v>11.13263737716608</v>
      </c>
      <c r="H94" s="5">
        <v>0.1113263737716608</v>
      </c>
      <c r="I94" s="3">
        <v>0.12</v>
      </c>
      <c r="J94" s="2">
        <v>11762.35050013627</v>
      </c>
      <c r="K94" s="2">
        <v>1568313.40001817</v>
      </c>
      <c r="L94" s="6">
        <v>16.466745670075891</v>
      </c>
      <c r="M94" s="7">
        <v>1.4827734807465121</v>
      </c>
      <c r="N94" s="6">
        <v>0.39860259044449348</v>
      </c>
      <c r="O94" s="2">
        <v>30983.389342214268</v>
      </c>
      <c r="P94" s="2">
        <v>3099.8010736529732</v>
      </c>
      <c r="Q94" s="2">
        <v>176187.9281039472</v>
      </c>
      <c r="R94" s="3">
        <v>0.1123422959351785</v>
      </c>
      <c r="S94" s="2">
        <v>1235.588737820698</v>
      </c>
      <c r="T94" s="7">
        <v>18815.73321346589</v>
      </c>
      <c r="U94" t="s">
        <v>55</v>
      </c>
      <c r="V94" s="5">
        <v>0.39860259044449348</v>
      </c>
      <c r="W94">
        <f t="shared" si="3"/>
        <v>18815.733213465894</v>
      </c>
      <c r="X94">
        <f t="shared" si="4"/>
        <v>0.99999999999999978</v>
      </c>
      <c r="Y94">
        <f t="shared" si="5"/>
        <v>1.0000000000000004</v>
      </c>
    </row>
    <row r="95" spans="1:25" x14ac:dyDescent="0.25">
      <c r="A95" t="s">
        <v>22</v>
      </c>
      <c r="B95" s="9">
        <v>45915</v>
      </c>
      <c r="C95" s="2">
        <v>57.362094879150391</v>
      </c>
      <c r="D95" s="3">
        <v>6.7473010795681729E-2</v>
      </c>
      <c r="E95" s="4">
        <v>0.69930731808457103</v>
      </c>
      <c r="F95" s="5">
        <v>6.9930731808457106E-3</v>
      </c>
      <c r="G95" s="4">
        <v>11.1011595219559</v>
      </c>
      <c r="H95" s="5">
        <v>0.111011595219559</v>
      </c>
      <c r="I95" s="3">
        <v>0.12</v>
      </c>
      <c r="J95" s="2">
        <v>11895.913618921641</v>
      </c>
      <c r="K95" s="2">
        <v>1586121.815856219</v>
      </c>
      <c r="L95" s="6">
        <v>18.25350108053059</v>
      </c>
      <c r="M95" s="7">
        <v>1.482723245110714</v>
      </c>
      <c r="N95" s="6">
        <v>0.40113732729651369</v>
      </c>
      <c r="O95" s="2">
        <v>34128.276973532411</v>
      </c>
      <c r="P95" s="2">
        <v>3414.3225679232869</v>
      </c>
      <c r="Q95" s="2">
        <v>195852.69508924001</v>
      </c>
      <c r="R95" s="3">
        <v>0.1234789743961216</v>
      </c>
      <c r="S95" s="2">
        <v>1369.612229424916</v>
      </c>
      <c r="T95" s="7">
        <v>18696.838936796648</v>
      </c>
      <c r="U95" t="s">
        <v>55</v>
      </c>
      <c r="V95" s="5">
        <v>0.40113732729651358</v>
      </c>
      <c r="W95">
        <f t="shared" si="3"/>
        <v>18696.838936796652</v>
      </c>
      <c r="X95">
        <f t="shared" si="4"/>
        <v>0.99999999999999978</v>
      </c>
      <c r="Y95">
        <f t="shared" si="5"/>
        <v>1.0000000000000007</v>
      </c>
    </row>
    <row r="96" spans="1:25" x14ac:dyDescent="0.25">
      <c r="A96" t="s">
        <v>22</v>
      </c>
      <c r="B96" s="9">
        <v>45916</v>
      </c>
      <c r="C96" s="2">
        <v>57.036060333251953</v>
      </c>
      <c r="D96" s="3">
        <v>6.7473010795681729E-2</v>
      </c>
      <c r="E96" s="4">
        <v>0.7088607039993583</v>
      </c>
      <c r="F96" s="5">
        <v>7.0886070399935833E-3</v>
      </c>
      <c r="G96" s="4">
        <v>11.25281482181083</v>
      </c>
      <c r="H96" s="5">
        <v>0.1125281482181083</v>
      </c>
      <c r="I96" s="3">
        <v>0.12</v>
      </c>
      <c r="J96" s="2">
        <v>11920.609287349611</v>
      </c>
      <c r="K96" s="2">
        <v>1589414.5716466149</v>
      </c>
      <c r="L96" s="6">
        <v>17.093369078294089</v>
      </c>
      <c r="M96" s="7">
        <v>1.4826738068659611</v>
      </c>
      <c r="N96" s="6">
        <v>0.40430621881178858</v>
      </c>
      <c r="O96" s="2">
        <v>31708.705461907601</v>
      </c>
      <c r="P96" s="2">
        <v>3172.1536636128731</v>
      </c>
      <c r="Q96" s="2">
        <v>180927.14774417001</v>
      </c>
      <c r="R96" s="3">
        <v>0.1138325714207664</v>
      </c>
      <c r="S96" s="2">
        <v>1282.521453225283</v>
      </c>
      <c r="T96" s="7">
        <v>18550.295916896041</v>
      </c>
      <c r="U96" t="s">
        <v>55</v>
      </c>
      <c r="V96" s="5">
        <v>0.40430621881178852</v>
      </c>
      <c r="W96">
        <f t="shared" si="3"/>
        <v>18550.295916896044</v>
      </c>
      <c r="X96">
        <f t="shared" si="4"/>
        <v>0.99999999999999978</v>
      </c>
      <c r="Y96">
        <f t="shared" si="5"/>
        <v>1.0000000000000004</v>
      </c>
    </row>
    <row r="97" spans="1:25" x14ac:dyDescent="0.25">
      <c r="A97" t="s">
        <v>22</v>
      </c>
      <c r="B97" s="9">
        <v>45917</v>
      </c>
      <c r="C97" s="2">
        <v>56.650749206542969</v>
      </c>
      <c r="D97" s="3">
        <v>6.7473010795681729E-2</v>
      </c>
      <c r="E97" s="4">
        <v>0.72169608043604083</v>
      </c>
      <c r="F97" s="5">
        <v>7.2169608043604087E-3</v>
      </c>
      <c r="G97" s="4">
        <v>11.456570106022991</v>
      </c>
      <c r="H97" s="5">
        <v>0.1145657010602299</v>
      </c>
      <c r="I97" s="3">
        <v>0.12</v>
      </c>
      <c r="J97" s="2">
        <v>11867.04708029137</v>
      </c>
      <c r="K97" s="2">
        <v>1582272.9440388491</v>
      </c>
      <c r="L97" s="6">
        <v>13.694521098996409</v>
      </c>
      <c r="M97" s="7">
        <v>1.4826251533552519</v>
      </c>
      <c r="N97" s="6">
        <v>0.40884623656127211</v>
      </c>
      <c r="O97" s="2">
        <v>25121.646980619938</v>
      </c>
      <c r="P97" s="2">
        <v>2513.0987957267198</v>
      </c>
      <c r="Q97" s="2">
        <v>142368.9296079796</v>
      </c>
      <c r="R97" s="3">
        <v>8.9977478376501926E-2</v>
      </c>
      <c r="S97" s="2">
        <v>1027.470984739535</v>
      </c>
      <c r="T97" s="7">
        <v>18344.304849375829</v>
      </c>
      <c r="U97" t="s">
        <v>55</v>
      </c>
      <c r="V97" s="5">
        <v>0.40884623656127211</v>
      </c>
      <c r="W97">
        <f t="shared" ref="W97:W101" si="6">(1000000*I97/16)/(C97*F97)</f>
        <v>18344.304849375825</v>
      </c>
      <c r="X97">
        <f t="shared" ref="X97:X101" si="7">T97/W97</f>
        <v>1.0000000000000002</v>
      </c>
      <c r="Y97">
        <f t="shared" si="5"/>
        <v>0.99999999999999978</v>
      </c>
    </row>
    <row r="98" spans="1:25" x14ac:dyDescent="0.25">
      <c r="A98" t="s">
        <v>22</v>
      </c>
      <c r="B98" s="9">
        <v>45918</v>
      </c>
      <c r="C98" s="2">
        <v>56.216041564941413</v>
      </c>
      <c r="D98" s="3">
        <v>6.7473010795681729E-2</v>
      </c>
      <c r="E98" s="4">
        <v>0.73661041857717902</v>
      </c>
      <c r="F98" s="5">
        <v>7.3661041857717904E-3</v>
      </c>
      <c r="G98" s="4">
        <v>11.69332788416645</v>
      </c>
      <c r="H98" s="5">
        <v>0.1169332788416645</v>
      </c>
      <c r="I98" s="3">
        <v>0.12</v>
      </c>
      <c r="J98" s="2">
        <v>11809.225177314151</v>
      </c>
      <c r="K98" s="2">
        <v>1574563.3569752211</v>
      </c>
      <c r="L98" s="6">
        <v>8.6497223499362885</v>
      </c>
      <c r="M98" s="7">
        <v>1.4825772721224899</v>
      </c>
      <c r="N98" s="6">
        <v>0.41409321907903579</v>
      </c>
      <c r="O98" s="2">
        <v>15666.259343440301</v>
      </c>
      <c r="P98" s="2">
        <v>1567.1578396894399</v>
      </c>
      <c r="Q98" s="2">
        <v>88099.410254805363</v>
      </c>
      <c r="R98" s="3">
        <v>5.5951645174854528E-2</v>
      </c>
      <c r="S98" s="2">
        <v>648.94943464194796</v>
      </c>
      <c r="T98" s="7">
        <v>18111.863837520399</v>
      </c>
      <c r="U98" t="s">
        <v>55</v>
      </c>
      <c r="V98" s="5">
        <v>0.41409321907903579</v>
      </c>
      <c r="W98">
        <f t="shared" si="6"/>
        <v>18111.863837520392</v>
      </c>
      <c r="X98">
        <f t="shared" si="7"/>
        <v>1.0000000000000004</v>
      </c>
      <c r="Y98">
        <f t="shared" si="5"/>
        <v>1</v>
      </c>
    </row>
    <row r="99" spans="1:25" x14ac:dyDescent="0.25">
      <c r="A99" t="s">
        <v>22</v>
      </c>
      <c r="B99" s="9">
        <v>45919</v>
      </c>
      <c r="C99" s="2">
        <v>56.077720642089837</v>
      </c>
      <c r="D99" s="3">
        <v>6.7473010795681729E-2</v>
      </c>
      <c r="E99" s="4">
        <v>0.72669360785994908</v>
      </c>
      <c r="F99" s="5">
        <v>7.2669360785994914E-3</v>
      </c>
      <c r="G99" s="4">
        <v>11.53590339442631</v>
      </c>
      <c r="H99" s="5">
        <v>0.1153590339442631</v>
      </c>
      <c r="I99" s="3">
        <v>0.12</v>
      </c>
      <c r="J99" s="2">
        <v>11809.881829059181</v>
      </c>
      <c r="K99" s="2">
        <v>1574650.9105412229</v>
      </c>
      <c r="L99" s="6">
        <v>5.1603683560676954</v>
      </c>
      <c r="M99" s="7">
        <v>1.4825301509092961</v>
      </c>
      <c r="N99" s="6">
        <v>0.40751321133962598</v>
      </c>
      <c r="O99" s="2">
        <v>9497.3025643216261</v>
      </c>
      <c r="P99" s="2">
        <v>950.02251576179606</v>
      </c>
      <c r="Q99" s="2">
        <v>53275.097242585391</v>
      </c>
      <c r="R99" s="3">
        <v>3.383295744215091E-2</v>
      </c>
      <c r="S99" s="2">
        <v>387.14672624304001</v>
      </c>
      <c r="T99" s="7">
        <v>18404.311299123539</v>
      </c>
      <c r="U99" t="s">
        <v>55</v>
      </c>
      <c r="V99" s="5">
        <v>0.40751321133962598</v>
      </c>
      <c r="W99">
        <f t="shared" si="6"/>
        <v>18404.311299123539</v>
      </c>
      <c r="X99">
        <f t="shared" si="7"/>
        <v>1</v>
      </c>
      <c r="Y99">
        <f t="shared" si="5"/>
        <v>1.0000000000000004</v>
      </c>
    </row>
    <row r="100" spans="1:25" x14ac:dyDescent="0.25">
      <c r="A100" t="s">
        <v>22</v>
      </c>
      <c r="B100" s="9">
        <v>45922</v>
      </c>
      <c r="C100" s="2">
        <v>56.137001037597663</v>
      </c>
      <c r="D100" s="3">
        <v>6.7473010795681729E-2</v>
      </c>
      <c r="E100" s="4">
        <v>0.71185089168387017</v>
      </c>
      <c r="F100" s="5">
        <v>7.1185089168387013E-3</v>
      </c>
      <c r="G100" s="4">
        <v>11.300282579730579</v>
      </c>
      <c r="H100" s="5">
        <v>0.11300282579730581</v>
      </c>
      <c r="I100" s="3">
        <v>0.12</v>
      </c>
      <c r="J100" s="2">
        <v>11896.989331386671</v>
      </c>
      <c r="K100" s="2">
        <v>1586265.2441848889</v>
      </c>
      <c r="L100" s="6">
        <v>4.1238757991099533</v>
      </c>
      <c r="M100" s="7">
        <v>1.4824837776518669</v>
      </c>
      <c r="N100" s="6">
        <v>0.39961174245072228</v>
      </c>
      <c r="O100" s="2">
        <v>7739.7796930701134</v>
      </c>
      <c r="P100" s="2">
        <v>774.19192726853714</v>
      </c>
      <c r="Q100" s="2">
        <v>43460.813024373601</v>
      </c>
      <c r="R100" s="3">
        <v>2.7398200385274261E-2</v>
      </c>
      <c r="S100" s="2">
        <v>309.37618504706302</v>
      </c>
      <c r="T100" s="7">
        <v>18768.217255089428</v>
      </c>
      <c r="U100" t="s">
        <v>55</v>
      </c>
      <c r="V100" s="5">
        <v>0.3996117424507224</v>
      </c>
      <c r="W100">
        <f t="shared" si="6"/>
        <v>18768.217255089428</v>
      </c>
      <c r="X100">
        <f t="shared" si="7"/>
        <v>1</v>
      </c>
      <c r="Y100">
        <f t="shared" si="5"/>
        <v>1</v>
      </c>
    </row>
    <row r="101" spans="1:25" x14ac:dyDescent="0.25">
      <c r="A101" t="s">
        <v>22</v>
      </c>
      <c r="B101" s="9">
        <v>45923</v>
      </c>
      <c r="C101" s="2">
        <v>55.909999847412109</v>
      </c>
      <c r="D101" s="3">
        <v>6.7473010795681729E-2</v>
      </c>
      <c r="E101" s="4">
        <v>0.70737946696172715</v>
      </c>
      <c r="F101" s="5">
        <v>7.0737946696172718E-3</v>
      </c>
      <c r="G101" s="4">
        <v>11.22930091280497</v>
      </c>
      <c r="H101" s="5">
        <v>0.1122930091280497</v>
      </c>
      <c r="I101" s="3">
        <v>0.12</v>
      </c>
      <c r="J101" s="2">
        <v>11912.28457012195</v>
      </c>
      <c r="K101" s="2">
        <v>1588304.6093495931</v>
      </c>
      <c r="L101" s="6">
        <v>2.8254554886104022</v>
      </c>
      <c r="M101" s="7">
        <v>1.482438140477889</v>
      </c>
      <c r="N101" s="6">
        <v>0.39549585889892619</v>
      </c>
      <c r="O101" s="2">
        <v>5358.062717413588</v>
      </c>
      <c r="P101" s="2">
        <v>535.93789071305116</v>
      </c>
      <c r="Q101" s="2">
        <v>29964.287387989061</v>
      </c>
      <c r="R101" s="3">
        <v>1.8865579821152421E-2</v>
      </c>
      <c r="S101" s="2">
        <v>211.961216404037</v>
      </c>
      <c r="T101" s="7">
        <v>18963.53610599173</v>
      </c>
      <c r="U101" t="s">
        <v>55</v>
      </c>
      <c r="V101" s="5">
        <v>0.39549585889892619</v>
      </c>
      <c r="W101">
        <f t="shared" si="6"/>
        <v>18963.536105991734</v>
      </c>
      <c r="X101">
        <f t="shared" si="7"/>
        <v>0.99999999999999978</v>
      </c>
      <c r="Y101">
        <f t="shared" si="5"/>
        <v>1.0000000000000004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"/>
  <sheetViews>
    <sheetView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W1" sqref="W1:Z3"/>
    </sheetView>
  </sheetViews>
  <sheetFormatPr defaultRowHeight="15" x14ac:dyDescent="0.25"/>
  <cols>
    <col min="1" max="1" width="12.7109375" customWidth="1"/>
    <col min="2" max="2" width="18.28515625" style="1" bestFit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1" width="15.7109375" style="2" customWidth="1"/>
    <col min="12" max="12" width="15.7109375" style="6" customWidth="1"/>
    <col min="13" max="13" width="12.7109375" style="7" customWidth="1"/>
    <col min="14" max="14" width="15.7109375" style="6" customWidth="1"/>
    <col min="15" max="17" width="15.7109375" style="2" customWidth="1"/>
    <col min="18" max="18" width="15.7109375" style="3" customWidth="1"/>
    <col min="19" max="19" width="15.7109375" style="2" customWidth="1"/>
    <col min="20" max="20" width="20.7109375" style="7" customWidth="1"/>
    <col min="21" max="21" width="20.7109375" customWidth="1"/>
    <col min="22" max="22" width="15.7109375" style="5" customWidth="1"/>
    <col min="23" max="24" width="15.85546875" customWidth="1"/>
  </cols>
  <sheetData>
    <row r="1" spans="1:26" s="11" customFormat="1" ht="9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78</v>
      </c>
      <c r="X1" s="10" t="s">
        <v>79</v>
      </c>
    </row>
    <row r="2" spans="1:26" x14ac:dyDescent="0.25">
      <c r="A2" t="s">
        <v>39</v>
      </c>
      <c r="B2" s="9">
        <v>45784</v>
      </c>
      <c r="C2" s="2">
        <v>560.3270263671875</v>
      </c>
      <c r="D2" s="3">
        <v>8.99640143942423E-2</v>
      </c>
      <c r="E2" s="4">
        <v>1.562741746556271</v>
      </c>
      <c r="F2" s="5">
        <v>1.5627417465562701E-2</v>
      </c>
      <c r="G2" s="4">
        <v>24.807756148839729</v>
      </c>
      <c r="H2" s="5">
        <v>0.2480775614883973</v>
      </c>
      <c r="I2" s="3">
        <v>0.12</v>
      </c>
      <c r="J2" s="2">
        <v>11020.397209917281</v>
      </c>
      <c r="K2" s="2">
        <v>1469386.2946556369</v>
      </c>
      <c r="L2" s="6">
        <v>6.0051701391860028</v>
      </c>
      <c r="M2" s="7">
        <v>1.493401281015603</v>
      </c>
      <c r="N2" s="6">
        <v>8.7564643582774</v>
      </c>
      <c r="O2" s="2">
        <v>512.80394001736909</v>
      </c>
      <c r="P2" s="2">
        <v>68.896426900510178</v>
      </c>
      <c r="Q2" s="2">
        <v>38604.530012487172</v>
      </c>
      <c r="R2" s="3">
        <v>2.6272553482292051E-2</v>
      </c>
      <c r="S2" s="2">
        <v>603.28910656698167</v>
      </c>
      <c r="T2" s="7">
        <v>853.93740415634488</v>
      </c>
      <c r="U2" t="s">
        <v>55</v>
      </c>
      <c r="V2" s="5">
        <v>8.7828451634692044</v>
      </c>
      <c r="W2">
        <f>(1000000*I2/16)/(C2*F2)</f>
        <v>856.51008136752421</v>
      </c>
      <c r="X2">
        <f>T2/W2</f>
        <v>0.99699632582599407</v>
      </c>
      <c r="Y2">
        <f>(1000000*I2/16)/(V2)/T2</f>
        <v>0.99999999999999989</v>
      </c>
      <c r="Z2">
        <f>T2*L2/10*M2*D2/P2</f>
        <v>1.0000000001826719</v>
      </c>
    </row>
    <row r="3" spans="1:26" x14ac:dyDescent="0.25">
      <c r="A3" t="s">
        <v>39</v>
      </c>
      <c r="B3" s="9">
        <v>45785</v>
      </c>
      <c r="C3" s="2">
        <v>563.865234375</v>
      </c>
      <c r="D3" s="3">
        <v>8.99640143942423E-2</v>
      </c>
      <c r="E3" s="4">
        <v>1.5155941052362021</v>
      </c>
      <c r="F3" s="5">
        <v>1.515594105236202E-2</v>
      </c>
      <c r="G3" s="4">
        <v>24.059310545822679</v>
      </c>
      <c r="H3" s="5">
        <v>0.24059310545822679</v>
      </c>
      <c r="I3" s="3">
        <v>0.12</v>
      </c>
      <c r="J3" s="2">
        <v>10960.987644774281</v>
      </c>
      <c r="K3" s="2">
        <v>1461465.0193032371</v>
      </c>
      <c r="L3" s="6">
        <v>7.1680361220852076</v>
      </c>
      <c r="M3" s="7">
        <v>1.4931823501374391</v>
      </c>
      <c r="N3" s="6">
        <v>8.5459082536637929</v>
      </c>
      <c r="O3" s="2">
        <v>627.18652206984586</v>
      </c>
      <c r="P3" s="2">
        <v>84.251645376587305</v>
      </c>
      <c r="Q3" s="2">
        <v>47506.573766748777</v>
      </c>
      <c r="R3" s="3">
        <v>3.2506131271891718E-2</v>
      </c>
      <c r="S3" s="2">
        <v>720.00683160853237</v>
      </c>
      <c r="T3" s="7">
        <v>874.97678776679356</v>
      </c>
      <c r="U3" t="s">
        <v>55</v>
      </c>
      <c r="V3" s="5">
        <v>8.5716559626024793</v>
      </c>
      <c r="W3">
        <f t="shared" ref="W3:W32" si="0">(1000000*I3/16)/(C3*F3)</f>
        <v>877.61297891123581</v>
      </c>
      <c r="X3">
        <f t="shared" ref="X3:X32" si="1">T3/W3</f>
        <v>0.99699618031206338</v>
      </c>
      <c r="Y3">
        <f t="shared" ref="Y3:Y66" si="2">(1000000*I3/16)/(V3)/T3</f>
        <v>1</v>
      </c>
      <c r="Z3">
        <f t="shared" ref="Z3:Z66" si="3">T3*L3/10*M3*D3/P3</f>
        <v>1.0000000001797724</v>
      </c>
    </row>
    <row r="4" spans="1:26" x14ac:dyDescent="0.25">
      <c r="A4" t="s">
        <v>39</v>
      </c>
      <c r="B4" s="9">
        <v>45786</v>
      </c>
      <c r="C4" s="2">
        <v>563.42791748046875</v>
      </c>
      <c r="D4" s="3">
        <v>8.99640143942423E-2</v>
      </c>
      <c r="E4" s="4">
        <v>1.479302572928751</v>
      </c>
      <c r="F4" s="5">
        <v>1.479302572928751E-2</v>
      </c>
      <c r="G4" s="4">
        <v>23.483200330724792</v>
      </c>
      <c r="H4" s="5">
        <v>0.23483200330724791</v>
      </c>
      <c r="I4" s="3">
        <v>0.12</v>
      </c>
      <c r="J4" s="2">
        <v>10993.164043182191</v>
      </c>
      <c r="K4" s="2">
        <v>1465755.2057576249</v>
      </c>
      <c r="L4" s="6">
        <v>7.4322270219326576</v>
      </c>
      <c r="M4" s="7">
        <v>1.4929668943525789</v>
      </c>
      <c r="N4" s="6">
        <v>8.3348036798874539</v>
      </c>
      <c r="O4" s="2">
        <v>666.77355883407108</v>
      </c>
      <c r="P4" s="2">
        <v>89.556553805829836</v>
      </c>
      <c r="Q4" s="2">
        <v>50458.662607546263</v>
      </c>
      <c r="R4" s="3">
        <v>3.4425027050451439E-2</v>
      </c>
      <c r="S4" s="2">
        <v>746.43629421886931</v>
      </c>
      <c r="T4" s="7">
        <v>897.13830977768623</v>
      </c>
      <c r="U4" t="s">
        <v>55</v>
      </c>
      <c r="V4" s="5">
        <v>8.3599149855260606</v>
      </c>
      <c r="W4">
        <f t="shared" si="0"/>
        <v>899.8412305856823</v>
      </c>
      <c r="X4">
        <f t="shared" si="1"/>
        <v>0.99699622476040939</v>
      </c>
      <c r="Y4">
        <f t="shared" si="2"/>
        <v>1</v>
      </c>
      <c r="Z4">
        <f t="shared" si="3"/>
        <v>1.0000000001769191</v>
      </c>
    </row>
    <row r="5" spans="1:26" x14ac:dyDescent="0.25">
      <c r="A5" t="s">
        <v>39</v>
      </c>
      <c r="B5" s="9">
        <v>45789</v>
      </c>
      <c r="C5" s="2">
        <v>582.13299560546875</v>
      </c>
      <c r="D5" s="3">
        <v>8.99640143942423E-2</v>
      </c>
      <c r="E5" s="4">
        <v>1.4995966278773669</v>
      </c>
      <c r="F5" s="5">
        <v>1.499596627877367E-2</v>
      </c>
      <c r="G5" s="4">
        <v>23.805358465647501</v>
      </c>
      <c r="H5" s="5">
        <v>0.23805358465647511</v>
      </c>
      <c r="I5" s="3">
        <v>0.12</v>
      </c>
      <c r="J5" s="2">
        <v>10993.064445708789</v>
      </c>
      <c r="K5" s="2">
        <v>1465741.926094505</v>
      </c>
      <c r="L5" s="6">
        <v>9.5905823223926774</v>
      </c>
      <c r="M5" s="7">
        <v>1.4927548585008119</v>
      </c>
      <c r="N5" s="6">
        <v>8.7296467718611126</v>
      </c>
      <c r="O5" s="2">
        <v>821.49154549179457</v>
      </c>
      <c r="P5" s="2">
        <v>110.32156597191489</v>
      </c>
      <c r="Q5" s="2">
        <v>64221.823679117188</v>
      </c>
      <c r="R5" s="3">
        <v>4.3815232774460741E-2</v>
      </c>
      <c r="S5" s="2">
        <v>963.06830225339002</v>
      </c>
      <c r="T5" s="7">
        <v>856.56065281221345</v>
      </c>
      <c r="U5" t="s">
        <v>55</v>
      </c>
      <c r="V5" s="5">
        <v>8.7559473755610977</v>
      </c>
      <c r="W5">
        <f t="shared" si="0"/>
        <v>859.14129128056834</v>
      </c>
      <c r="X5">
        <f t="shared" si="1"/>
        <v>0.99699625836338468</v>
      </c>
      <c r="Y5">
        <f t="shared" si="2"/>
        <v>0.99999999999999989</v>
      </c>
      <c r="Z5">
        <f t="shared" si="3"/>
        <v>1.0000000001741109</v>
      </c>
    </row>
    <row r="6" spans="1:26" x14ac:dyDescent="0.25">
      <c r="A6" t="s">
        <v>39</v>
      </c>
      <c r="B6" s="9">
        <v>45790</v>
      </c>
      <c r="C6" s="2">
        <v>586.337158203125</v>
      </c>
      <c r="D6" s="3">
        <v>8.99640143942423E-2</v>
      </c>
      <c r="E6" s="4">
        <v>1.4528043585948001</v>
      </c>
      <c r="F6" s="5">
        <v>1.4528043585947999E-2</v>
      </c>
      <c r="G6" s="4">
        <v>23.06255421883526</v>
      </c>
      <c r="H6" s="5">
        <v>0.2306255421883526</v>
      </c>
      <c r="I6" s="3">
        <v>0.12</v>
      </c>
      <c r="J6" s="2">
        <v>11016.1596022789</v>
      </c>
      <c r="K6" s="2">
        <v>1468821.2803038531</v>
      </c>
      <c r="L6" s="6">
        <v>10.90847186660959</v>
      </c>
      <c r="M6" s="7">
        <v>1.492546188297486</v>
      </c>
      <c r="N6" s="6">
        <v>8.5183317904358873</v>
      </c>
      <c r="O6" s="2">
        <v>957.55589526064637</v>
      </c>
      <c r="P6" s="2">
        <v>128.57624561948799</v>
      </c>
      <c r="Q6" s="2">
        <v>75389.030468957586</v>
      </c>
      <c r="R6" s="3">
        <v>5.1326210669661573E-2</v>
      </c>
      <c r="S6" s="2">
        <v>1095.255120555378</v>
      </c>
      <c r="T6" s="7">
        <v>877.80938244126389</v>
      </c>
      <c r="U6" t="s">
        <v>55</v>
      </c>
      <c r="V6" s="5">
        <v>8.5439961682134804</v>
      </c>
      <c r="W6">
        <f t="shared" si="0"/>
        <v>880.45408238509356</v>
      </c>
      <c r="X6">
        <f t="shared" si="1"/>
        <v>0.99699620911897491</v>
      </c>
      <c r="Y6">
        <f t="shared" si="2"/>
        <v>1</v>
      </c>
      <c r="Z6">
        <f t="shared" si="3"/>
        <v>1.0000000001713474</v>
      </c>
    </row>
    <row r="7" spans="1:26" x14ac:dyDescent="0.25">
      <c r="A7" t="s">
        <v>39</v>
      </c>
      <c r="B7" s="9">
        <v>45791</v>
      </c>
      <c r="C7" s="2">
        <v>586.67510986328125</v>
      </c>
      <c r="D7" s="3">
        <v>8.99640143942423E-2</v>
      </c>
      <c r="E7" s="4">
        <v>1.41681897726156</v>
      </c>
      <c r="F7" s="5">
        <v>1.4168189772615599E-2</v>
      </c>
      <c r="G7" s="4">
        <v>22.491303999785782</v>
      </c>
      <c r="H7" s="5">
        <v>0.22491303999785781</v>
      </c>
      <c r="I7" s="3">
        <v>0.12</v>
      </c>
      <c r="J7" s="2">
        <v>10995.53825334889</v>
      </c>
      <c r="K7" s="2">
        <v>1466071.767113185</v>
      </c>
      <c r="L7" s="6">
        <v>11.692074935847639</v>
      </c>
      <c r="M7" s="7">
        <v>1.4923408303196091</v>
      </c>
      <c r="N7" s="6">
        <v>8.3121242914130722</v>
      </c>
      <c r="O7" s="2">
        <v>1051.802896932903</v>
      </c>
      <c r="P7" s="2">
        <v>141.21187199610759</v>
      </c>
      <c r="Q7" s="2">
        <v>82845.490517316008</v>
      </c>
      <c r="R7" s="3">
        <v>5.650848231014334E-2</v>
      </c>
      <c r="S7" s="2">
        <v>1173.770631454759</v>
      </c>
      <c r="T7" s="7">
        <v>899.58617499798868</v>
      </c>
      <c r="U7" t="s">
        <v>55</v>
      </c>
      <c r="V7" s="5">
        <v>8.3371668089683197</v>
      </c>
      <c r="W7">
        <f t="shared" si="0"/>
        <v>902.29642111438977</v>
      </c>
      <c r="X7">
        <f t="shared" si="1"/>
        <v>0.99699627965602056</v>
      </c>
      <c r="Y7">
        <f t="shared" si="2"/>
        <v>1.0000000000000002</v>
      </c>
      <c r="Z7">
        <f t="shared" si="3"/>
        <v>1.0000000001686271</v>
      </c>
    </row>
    <row r="8" spans="1:26" x14ac:dyDescent="0.25">
      <c r="A8" t="s">
        <v>39</v>
      </c>
      <c r="B8" s="9">
        <v>45792</v>
      </c>
      <c r="C8" s="2">
        <v>589.55731201171875</v>
      </c>
      <c r="D8" s="3">
        <v>8.99640143942423E-2</v>
      </c>
      <c r="E8" s="4">
        <v>1.375092499050836</v>
      </c>
      <c r="F8" s="5">
        <v>1.3750924990508361E-2</v>
      </c>
      <c r="G8" s="4">
        <v>21.828916693193008</v>
      </c>
      <c r="H8" s="5">
        <v>0.2182891669319301</v>
      </c>
      <c r="I8" s="3">
        <v>0.12</v>
      </c>
      <c r="J8" s="2">
        <v>11030.70134834174</v>
      </c>
      <c r="K8" s="2">
        <v>1470760.1797788991</v>
      </c>
      <c r="L8" s="6">
        <v>12.2564524496819</v>
      </c>
      <c r="M8" s="7">
        <v>1.4921387319921751</v>
      </c>
      <c r="N8" s="6">
        <v>8.1069583750788805</v>
      </c>
      <c r="O8" s="2">
        <v>1130.476684978147</v>
      </c>
      <c r="P8" s="2">
        <v>151.7538227000272</v>
      </c>
      <c r="Q8" s="2">
        <v>89467.575798531005</v>
      </c>
      <c r="R8" s="3">
        <v>6.0830839064449478E-2</v>
      </c>
      <c r="S8" s="2">
        <v>1230.261923888221</v>
      </c>
      <c r="T8" s="7">
        <v>922.35227902955512</v>
      </c>
      <c r="U8" t="s">
        <v>55</v>
      </c>
      <c r="V8" s="5">
        <v>8.1313833884500824</v>
      </c>
      <c r="W8">
        <f t="shared" si="0"/>
        <v>925.13118397835945</v>
      </c>
      <c r="X8">
        <f t="shared" si="1"/>
        <v>0.99699620443356574</v>
      </c>
      <c r="Y8">
        <f t="shared" si="2"/>
        <v>1</v>
      </c>
      <c r="Z8">
        <f t="shared" si="3"/>
        <v>1.0000000001659506</v>
      </c>
    </row>
    <row r="9" spans="1:26" x14ac:dyDescent="0.25">
      <c r="A9" t="s">
        <v>39</v>
      </c>
      <c r="B9" s="9">
        <v>45793</v>
      </c>
      <c r="C9" s="2">
        <v>593.39373779296875</v>
      </c>
      <c r="D9" s="3">
        <v>8.99640143942423E-2</v>
      </c>
      <c r="E9" s="4">
        <v>1.3335200201358171</v>
      </c>
      <c r="F9" s="5">
        <v>1.333520020135817E-2</v>
      </c>
      <c r="G9" s="4">
        <v>21.168974049631309</v>
      </c>
      <c r="H9" s="5">
        <v>0.21168974049631309</v>
      </c>
      <c r="I9" s="3">
        <v>0.12</v>
      </c>
      <c r="J9" s="2">
        <v>11040.4182039924</v>
      </c>
      <c r="K9" s="2">
        <v>1472055.76053232</v>
      </c>
      <c r="L9" s="6">
        <v>12.78372568491603</v>
      </c>
      <c r="M9" s="7">
        <v>1.4919398415747001</v>
      </c>
      <c r="N9" s="6">
        <v>7.9130242917014737</v>
      </c>
      <c r="O9" s="2">
        <v>1208.0076498130841</v>
      </c>
      <c r="P9" s="2">
        <v>162.1398707766829</v>
      </c>
      <c r="Q9" s="2">
        <v>96212.783965444803</v>
      </c>
      <c r="R9" s="3">
        <v>6.535946975993126E-2</v>
      </c>
      <c r="S9" s="2">
        <v>1283.0167361092299</v>
      </c>
      <c r="T9" s="7">
        <v>944.95742445291614</v>
      </c>
      <c r="U9" t="s">
        <v>55</v>
      </c>
      <c r="V9" s="5">
        <v>7.9368655199911604</v>
      </c>
      <c r="W9">
        <f t="shared" si="0"/>
        <v>947.80449592014782</v>
      </c>
      <c r="X9">
        <f t="shared" si="1"/>
        <v>0.99699614057594477</v>
      </c>
      <c r="Y9">
        <f t="shared" si="2"/>
        <v>0.99999999999999978</v>
      </c>
      <c r="Z9">
        <f t="shared" si="3"/>
        <v>1.0000000001633165</v>
      </c>
    </row>
    <row r="10" spans="1:26" x14ac:dyDescent="0.25">
      <c r="A10" t="s">
        <v>39</v>
      </c>
      <c r="B10" s="9">
        <v>45796</v>
      </c>
      <c r="C10" s="2">
        <v>594.13916015625</v>
      </c>
      <c r="D10" s="3">
        <v>8.99640143942423E-2</v>
      </c>
      <c r="E10" s="4">
        <v>1.300043427595384</v>
      </c>
      <c r="F10" s="5">
        <v>1.300043427595384E-2</v>
      </c>
      <c r="G10" s="4">
        <v>20.63754961800835</v>
      </c>
      <c r="H10" s="5">
        <v>0.2063754961800835</v>
      </c>
      <c r="I10" s="3">
        <v>0.12</v>
      </c>
      <c r="J10" s="2">
        <v>11070.868354496981</v>
      </c>
      <c r="K10" s="2">
        <v>1476115.7805995969</v>
      </c>
      <c r="L10" s="6">
        <v>13.23973042860397</v>
      </c>
      <c r="M10" s="7">
        <v>1.491744108147979</v>
      </c>
      <c r="N10" s="6">
        <v>7.7240671023817393</v>
      </c>
      <c r="O10" s="2">
        <v>1281.704415724342</v>
      </c>
      <c r="P10" s="2">
        <v>172.0089473423692</v>
      </c>
      <c r="Q10" s="2">
        <v>102197.25151335591</v>
      </c>
      <c r="R10" s="3">
        <v>6.9233899438324142E-2</v>
      </c>
      <c r="S10" s="2">
        <v>1328.608651482507</v>
      </c>
      <c r="T10" s="7">
        <v>968.07440501603094</v>
      </c>
      <c r="U10" t="s">
        <v>55</v>
      </c>
      <c r="V10" s="5">
        <v>7.7473383875651596</v>
      </c>
      <c r="W10">
        <f t="shared" si="0"/>
        <v>970.99104663233072</v>
      </c>
      <c r="X10">
        <f t="shared" si="1"/>
        <v>0.99699622192561355</v>
      </c>
      <c r="Y10">
        <f t="shared" si="2"/>
        <v>1.0000000000000002</v>
      </c>
      <c r="Z10">
        <f t="shared" si="3"/>
        <v>1.0000000001607248</v>
      </c>
    </row>
    <row r="11" spans="1:26" x14ac:dyDescent="0.25">
      <c r="A11" t="s">
        <v>39</v>
      </c>
      <c r="B11" s="9">
        <v>45797</v>
      </c>
      <c r="C11" s="2">
        <v>591.93280029296875</v>
      </c>
      <c r="D11" s="3">
        <v>8.99640143942423E-2</v>
      </c>
      <c r="E11" s="4">
        <v>1.2801561731803759</v>
      </c>
      <c r="F11" s="5">
        <v>1.2801561731803759E-2</v>
      </c>
      <c r="G11" s="4">
        <v>20.32184924135646</v>
      </c>
      <c r="H11" s="5">
        <v>0.2032184924135646</v>
      </c>
      <c r="I11" s="3">
        <v>0.12</v>
      </c>
      <c r="J11" s="2">
        <v>11083.971722534499</v>
      </c>
      <c r="K11" s="2">
        <v>1477862.8963379329</v>
      </c>
      <c r="L11" s="6">
        <v>13.070213172917001</v>
      </c>
      <c r="M11" s="7">
        <v>1.491551481601046</v>
      </c>
      <c r="N11" s="6">
        <v>7.5776642840299084</v>
      </c>
      <c r="O11" s="2">
        <v>1289.7397652163861</v>
      </c>
      <c r="P11" s="2">
        <v>173.0649671776896</v>
      </c>
      <c r="Q11" s="2">
        <v>102442.8306541005</v>
      </c>
      <c r="R11" s="3">
        <v>6.9318223569959384E-2</v>
      </c>
      <c r="S11" s="2">
        <v>1311.4282205991869</v>
      </c>
      <c r="T11" s="7">
        <v>986.77791108172312</v>
      </c>
      <c r="U11" t="s">
        <v>55</v>
      </c>
      <c r="V11" s="5">
        <v>7.6004944129509022</v>
      </c>
      <c r="W11">
        <f t="shared" si="0"/>
        <v>989.75089405932317</v>
      </c>
      <c r="X11">
        <f t="shared" si="1"/>
        <v>0.9969962310764815</v>
      </c>
      <c r="Y11">
        <f t="shared" si="2"/>
        <v>1.0000000000000002</v>
      </c>
      <c r="Z11">
        <f t="shared" si="3"/>
        <v>1.0000000001581721</v>
      </c>
    </row>
    <row r="12" spans="1:26" x14ac:dyDescent="0.25">
      <c r="A12" t="s">
        <v>39</v>
      </c>
      <c r="B12" s="9">
        <v>45798</v>
      </c>
      <c r="C12" s="2">
        <v>582.09320068359375</v>
      </c>
      <c r="D12" s="3">
        <v>8.99640143942423E-2</v>
      </c>
      <c r="E12" s="4">
        <v>1.3218544666645939</v>
      </c>
      <c r="F12" s="5">
        <v>1.321854466664594E-2</v>
      </c>
      <c r="G12" s="4">
        <v>20.98378912928661</v>
      </c>
      <c r="H12" s="5">
        <v>0.20983789129286609</v>
      </c>
      <c r="I12" s="3">
        <v>0.12</v>
      </c>
      <c r="J12" s="2">
        <v>11024.08524507603</v>
      </c>
      <c r="K12" s="2">
        <v>1469878.0326768041</v>
      </c>
      <c r="L12" s="6">
        <v>9.9116140934648129</v>
      </c>
      <c r="M12" s="7">
        <v>1.491361912618351</v>
      </c>
      <c r="N12" s="6">
        <v>7.6944249733869823</v>
      </c>
      <c r="O12" s="2">
        <v>963.21449327370647</v>
      </c>
      <c r="P12" s="2">
        <v>129.2334334120456</v>
      </c>
      <c r="Q12" s="2">
        <v>75225.902890147685</v>
      </c>
      <c r="R12" s="3">
        <v>5.1178329914321773E-2</v>
      </c>
      <c r="S12" s="2">
        <v>994.37695744218695</v>
      </c>
      <c r="T12" s="7">
        <v>971.80386987503732</v>
      </c>
      <c r="U12" t="s">
        <v>55</v>
      </c>
      <c r="V12" s="5">
        <v>7.7176066411059008</v>
      </c>
      <c r="W12">
        <f t="shared" si="0"/>
        <v>974.73170846951541</v>
      </c>
      <c r="X12">
        <f t="shared" si="1"/>
        <v>0.99699626208008019</v>
      </c>
      <c r="Y12">
        <f t="shared" si="2"/>
        <v>0.99999999999999967</v>
      </c>
      <c r="Z12">
        <f t="shared" si="3"/>
        <v>1.0000000001556617</v>
      </c>
    </row>
    <row r="13" spans="1:26" x14ac:dyDescent="0.25">
      <c r="A13" t="s">
        <v>39</v>
      </c>
      <c r="B13" s="9">
        <v>45799</v>
      </c>
      <c r="C13" s="2">
        <v>582.18267822265625</v>
      </c>
      <c r="D13" s="3">
        <v>8.99640143942423E-2</v>
      </c>
      <c r="E13" s="4">
        <v>1.290185040303127</v>
      </c>
      <c r="F13" s="5">
        <v>1.2901850403031269E-2</v>
      </c>
      <c r="G13" s="4">
        <v>20.481052571387519</v>
      </c>
      <c r="H13" s="5">
        <v>0.2048105257138752</v>
      </c>
      <c r="I13" s="3">
        <v>0.12</v>
      </c>
      <c r="J13" s="2">
        <v>11025.7772404436</v>
      </c>
      <c r="K13" s="2">
        <v>1470103.632059146</v>
      </c>
      <c r="L13" s="6">
        <v>8.6945129775097314</v>
      </c>
      <c r="M13" s="7">
        <v>1.491175352667127</v>
      </c>
      <c r="N13" s="6">
        <v>7.5112338216648036</v>
      </c>
      <c r="O13" s="2">
        <v>865.54319335562536</v>
      </c>
      <c r="P13" s="2">
        <v>116.114455094231</v>
      </c>
      <c r="Q13" s="2">
        <v>67599.82444712377</v>
      </c>
      <c r="R13" s="3">
        <v>4.5983033422234303E-2</v>
      </c>
      <c r="S13" s="2">
        <v>872.16282228796706</v>
      </c>
      <c r="T13" s="7">
        <v>995.50509107818129</v>
      </c>
      <c r="U13" t="s">
        <v>55</v>
      </c>
      <c r="V13" s="5">
        <v>7.5338640326561546</v>
      </c>
      <c r="W13">
        <f t="shared" si="0"/>
        <v>998.50439728924437</v>
      </c>
      <c r="X13">
        <f t="shared" si="1"/>
        <v>0.99699620129945787</v>
      </c>
      <c r="Y13">
        <f t="shared" si="2"/>
        <v>1.0000000000000002</v>
      </c>
      <c r="Z13">
        <f t="shared" si="3"/>
        <v>1.0000000001531912</v>
      </c>
    </row>
    <row r="14" spans="1:26" x14ac:dyDescent="0.25">
      <c r="A14" t="s">
        <v>39</v>
      </c>
      <c r="B14" s="9">
        <v>45800</v>
      </c>
      <c r="C14" s="2">
        <v>578.4456787109375</v>
      </c>
      <c r="D14" s="3">
        <v>8.99640143942423E-2</v>
      </c>
      <c r="E14" s="4">
        <v>1.2766078424547871</v>
      </c>
      <c r="F14" s="5">
        <v>1.2766078424547869E-2</v>
      </c>
      <c r="G14" s="4">
        <v>20.26552123734055</v>
      </c>
      <c r="H14" s="5">
        <v>0.2026552123734055</v>
      </c>
      <c r="I14" s="3">
        <v>0.12</v>
      </c>
      <c r="J14" s="2">
        <v>11073.26622285691</v>
      </c>
      <c r="K14" s="2">
        <v>1476435.496380921</v>
      </c>
      <c r="L14" s="6">
        <v>3.6211778542315232</v>
      </c>
      <c r="M14" s="7">
        <v>1.4909917539849711</v>
      </c>
      <c r="N14" s="6">
        <v>7.3844828987646496</v>
      </c>
      <c r="O14" s="2">
        <v>366.67775014498108</v>
      </c>
      <c r="P14" s="2">
        <v>49.184541341279022</v>
      </c>
      <c r="Q14" s="2">
        <v>28450.58539824231</v>
      </c>
      <c r="R14" s="3">
        <v>1.9269778780028762E-2</v>
      </c>
      <c r="S14" s="2">
        <v>363.20240441825791</v>
      </c>
      <c r="T14" s="7">
        <v>1012.59249035918</v>
      </c>
      <c r="U14" t="s">
        <v>55</v>
      </c>
      <c r="V14" s="5">
        <v>7.4067308136362389</v>
      </c>
      <c r="W14">
        <f t="shared" si="0"/>
        <v>1015.6432214440739</v>
      </c>
      <c r="X14">
        <f t="shared" si="1"/>
        <v>0.99699625712998285</v>
      </c>
      <c r="Y14">
        <f t="shared" si="2"/>
        <v>1.0000000000000007</v>
      </c>
      <c r="Z14">
        <f t="shared" si="3"/>
        <v>1.0000000001507594</v>
      </c>
    </row>
    <row r="15" spans="1:26" x14ac:dyDescent="0.25">
      <c r="A15" t="s">
        <v>39</v>
      </c>
      <c r="B15" s="9">
        <v>45803</v>
      </c>
      <c r="D15" s="3">
        <v>8.99640143942423E-2</v>
      </c>
      <c r="E15" s="4">
        <v>1.276840787942978</v>
      </c>
      <c r="F15" s="5">
        <v>1.2768407879429769E-2</v>
      </c>
      <c r="G15" s="4">
        <v>20.269219132325269</v>
      </c>
      <c r="H15" s="5">
        <v>0.20269219132325261</v>
      </c>
      <c r="I15" s="3">
        <v>0.12</v>
      </c>
      <c r="J15" s="2">
        <v>11073.104114300409</v>
      </c>
      <c r="K15" s="2">
        <v>1476413.881906721</v>
      </c>
      <c r="L15" s="6">
        <v>3.621859817901051</v>
      </c>
      <c r="M15" s="7">
        <v>1.49081106956761</v>
      </c>
      <c r="O15" s="2">
        <v>366.67989637324388</v>
      </c>
      <c r="P15" s="2">
        <v>49.178868810278729</v>
      </c>
      <c r="T15" s="7">
        <v>1012.407754052014</v>
      </c>
      <c r="U15" t="s">
        <v>55</v>
      </c>
      <c r="V15" s="5">
        <v>7.4080823363732122</v>
      </c>
      <c r="W15" t="e">
        <f t="shared" si="0"/>
        <v>#DIV/0!</v>
      </c>
      <c r="X15" t="e">
        <f t="shared" si="1"/>
        <v>#DIV/0!</v>
      </c>
      <c r="Y15">
        <f t="shared" si="2"/>
        <v>1</v>
      </c>
      <c r="Z15">
        <f t="shared" si="3"/>
        <v>1.0000000001483667</v>
      </c>
    </row>
    <row r="16" spans="1:26" x14ac:dyDescent="0.25">
      <c r="A16" t="s">
        <v>39</v>
      </c>
      <c r="B16" s="9">
        <v>45804</v>
      </c>
      <c r="C16" s="2">
        <v>590.312744140625</v>
      </c>
      <c r="D16" s="3">
        <v>8.99640143942423E-2</v>
      </c>
      <c r="E16" s="4">
        <v>1.2514003926008359</v>
      </c>
      <c r="F16" s="5">
        <v>1.251400392600836E-2</v>
      </c>
      <c r="G16" s="4">
        <v>19.865365376342432</v>
      </c>
      <c r="H16" s="5">
        <v>0.19865365376342431</v>
      </c>
      <c r="I16" s="3">
        <v>0.12</v>
      </c>
      <c r="J16" s="2">
        <v>11103.75891821494</v>
      </c>
      <c r="K16" s="2">
        <v>1480501.189095326</v>
      </c>
      <c r="L16" s="6">
        <v>9.0815010008747059</v>
      </c>
      <c r="M16" s="7">
        <v>1.490633253156874</v>
      </c>
      <c r="N16" s="6">
        <v>7.3871759977485478</v>
      </c>
      <c r="O16" s="2">
        <v>919.25070235074907</v>
      </c>
      <c r="P16" s="2">
        <v>123.27459998406511</v>
      </c>
      <c r="Q16" s="2">
        <v>72770.56739943134</v>
      </c>
      <c r="R16" s="3">
        <v>4.9152657178140123E-2</v>
      </c>
      <c r="S16" s="2">
        <v>910.65116613433952</v>
      </c>
      <c r="T16" s="7">
        <v>1012.223312272067</v>
      </c>
      <c r="U16" t="s">
        <v>55</v>
      </c>
      <c r="V16" s="5">
        <v>7.4094321965034284</v>
      </c>
      <c r="W16">
        <f t="shared" si="0"/>
        <v>1015.2729544125979</v>
      </c>
      <c r="X16">
        <f t="shared" si="1"/>
        <v>0.9969962342370331</v>
      </c>
      <c r="Y16">
        <f t="shared" si="2"/>
        <v>1.0000000000000004</v>
      </c>
      <c r="Z16">
        <f t="shared" si="3"/>
        <v>1.0000000001460112</v>
      </c>
    </row>
    <row r="17" spans="1:26" x14ac:dyDescent="0.25">
      <c r="A17" t="s">
        <v>39</v>
      </c>
      <c r="B17" s="9">
        <v>45805</v>
      </c>
      <c r="C17" s="2">
        <v>586.8341064453125</v>
      </c>
      <c r="D17" s="3">
        <v>8.99640143942423E-2</v>
      </c>
      <c r="E17" s="4">
        <v>1.2336825342131179</v>
      </c>
      <c r="F17" s="5">
        <v>1.233682534213118E-2</v>
      </c>
      <c r="G17" s="4">
        <v>19.584103093991061</v>
      </c>
      <c r="H17" s="5">
        <v>0.19584103093991059</v>
      </c>
      <c r="I17" s="3">
        <v>0.12</v>
      </c>
      <c r="J17" s="2">
        <v>11060.54828435737</v>
      </c>
      <c r="K17" s="2">
        <v>1474739.7712476491</v>
      </c>
      <c r="L17" s="6">
        <v>8.0057391550752453</v>
      </c>
      <c r="M17" s="7">
        <v>1.4904582592288489</v>
      </c>
      <c r="N17" s="6">
        <v>7.239669876021436</v>
      </c>
      <c r="O17" s="2">
        <v>826.87044070453703</v>
      </c>
      <c r="P17" s="2">
        <v>110.87307974159</v>
      </c>
      <c r="Q17" s="2">
        <v>65064.104678995827</v>
      </c>
      <c r="R17" s="3">
        <v>4.4119041167480527E-2</v>
      </c>
      <c r="S17" s="2">
        <v>802.68449546691147</v>
      </c>
      <c r="T17" s="7">
        <v>1032.8470921767939</v>
      </c>
      <c r="U17" t="s">
        <v>55</v>
      </c>
      <c r="V17" s="5">
        <v>7.2614814494885689</v>
      </c>
      <c r="W17">
        <f t="shared" si="0"/>
        <v>1035.958839068174</v>
      </c>
      <c r="X17">
        <f t="shared" si="1"/>
        <v>0.9969962639691563</v>
      </c>
      <c r="Y17">
        <f t="shared" si="2"/>
        <v>1.0000000000000002</v>
      </c>
      <c r="Z17">
        <f t="shared" si="3"/>
        <v>1.0000000001436937</v>
      </c>
    </row>
    <row r="18" spans="1:26" x14ac:dyDescent="0.25">
      <c r="A18" t="s">
        <v>39</v>
      </c>
      <c r="B18" s="9">
        <v>45806</v>
      </c>
      <c r="C18" s="2">
        <v>589.15985107421875</v>
      </c>
      <c r="D18" s="3">
        <v>8.99640143942423E-2</v>
      </c>
      <c r="E18" s="4">
        <v>1.197958796523058</v>
      </c>
      <c r="F18" s="5">
        <v>1.1979587965230579E-2</v>
      </c>
      <c r="G18" s="4">
        <v>19.017006339013442</v>
      </c>
      <c r="H18" s="5">
        <v>0.1901700633901344</v>
      </c>
      <c r="I18" s="3">
        <v>0.12</v>
      </c>
      <c r="J18" s="2">
        <v>11117.82706560668</v>
      </c>
      <c r="K18" s="2">
        <v>1482376.942080891</v>
      </c>
      <c r="L18" s="6">
        <v>9.0058257957032541</v>
      </c>
      <c r="M18" s="7">
        <v>1.49028604298222</v>
      </c>
      <c r="N18" s="6">
        <v>7.057892261525752</v>
      </c>
      <c r="O18" s="2">
        <v>954.12066621292831</v>
      </c>
      <c r="P18" s="2">
        <v>127.9209756876502</v>
      </c>
      <c r="Q18" s="2">
        <v>75365.902985404769</v>
      </c>
      <c r="R18" s="3">
        <v>5.0841254235653228E-2</v>
      </c>
      <c r="S18" s="2">
        <v>902.85246439269054</v>
      </c>
      <c r="T18" s="7">
        <v>1059.4482814314999</v>
      </c>
      <c r="U18" t="s">
        <v>55</v>
      </c>
      <c r="V18" s="5">
        <v>7.0791563226344456</v>
      </c>
      <c r="W18">
        <f t="shared" si="0"/>
        <v>1062.6401937139624</v>
      </c>
      <c r="X18">
        <f t="shared" si="1"/>
        <v>0.99699624360028527</v>
      </c>
      <c r="Y18">
        <f t="shared" si="2"/>
        <v>1</v>
      </c>
      <c r="Z18">
        <f t="shared" si="3"/>
        <v>1.0000000001414131</v>
      </c>
    </row>
    <row r="19" spans="1:26" x14ac:dyDescent="0.25">
      <c r="A19" t="s">
        <v>39</v>
      </c>
      <c r="B19" s="9">
        <v>45807</v>
      </c>
      <c r="C19" s="2">
        <v>588.53369140625</v>
      </c>
      <c r="D19" s="3">
        <v>8.99640143942423E-2</v>
      </c>
      <c r="E19" s="4">
        <v>1.1690419057723409</v>
      </c>
      <c r="F19" s="5">
        <v>1.169041905772341E-2</v>
      </c>
      <c r="G19" s="4">
        <v>18.55796492931972</v>
      </c>
      <c r="H19" s="5">
        <v>0.1855796492931972</v>
      </c>
      <c r="I19" s="3">
        <v>0.12</v>
      </c>
      <c r="J19" s="2">
        <v>11114.740283476929</v>
      </c>
      <c r="K19" s="2">
        <v>1481965.3711302569</v>
      </c>
      <c r="L19" s="6">
        <v>9.0592724652102739</v>
      </c>
      <c r="M19" s="7">
        <v>1.4901165603268081</v>
      </c>
      <c r="N19" s="6">
        <v>6.880205482127935</v>
      </c>
      <c r="O19" s="2">
        <v>984.57023484886918</v>
      </c>
      <c r="P19" s="2">
        <v>131.98840167873641</v>
      </c>
      <c r="Q19" s="2">
        <v>77679.621262797635</v>
      </c>
      <c r="R19" s="3">
        <v>5.2416623745771718E-2</v>
      </c>
      <c r="S19" s="2">
        <v>908.10732480734634</v>
      </c>
      <c r="T19" s="7">
        <v>1086.809386327488</v>
      </c>
      <c r="U19" t="s">
        <v>55</v>
      </c>
      <c r="V19" s="5">
        <v>6.9009341420428472</v>
      </c>
      <c r="W19">
        <f t="shared" si="0"/>
        <v>1090.0837219879622</v>
      </c>
      <c r="X19">
        <f t="shared" si="1"/>
        <v>0.9969962530451304</v>
      </c>
      <c r="Y19">
        <f t="shared" si="2"/>
        <v>1.0000000000000004</v>
      </c>
      <c r="Z19">
        <f t="shared" si="3"/>
        <v>1.0000000001391685</v>
      </c>
    </row>
    <row r="20" spans="1:26" x14ac:dyDescent="0.25">
      <c r="A20" t="s">
        <v>39</v>
      </c>
      <c r="B20" s="9">
        <v>45810</v>
      </c>
      <c r="C20" s="2">
        <v>591.95269775390625</v>
      </c>
      <c r="D20" s="3">
        <v>8.99640143942423E-2</v>
      </c>
      <c r="E20" s="4">
        <v>1.1361748020882441</v>
      </c>
      <c r="F20" s="5">
        <v>1.136174802088244E-2</v>
      </c>
      <c r="G20" s="4">
        <v>18.036215833341139</v>
      </c>
      <c r="H20" s="5">
        <v>0.18036215833341129</v>
      </c>
      <c r="I20" s="3">
        <v>0.12</v>
      </c>
      <c r="J20" s="2">
        <v>11198.09702599189</v>
      </c>
      <c r="K20" s="2">
        <v>1493079.603465586</v>
      </c>
      <c r="L20" s="6">
        <v>11.891307808223161</v>
      </c>
      <c r="M20" s="7">
        <v>1.4899497678722751</v>
      </c>
      <c r="N20" s="6">
        <v>6.725617392161463</v>
      </c>
      <c r="O20" s="2">
        <v>1322.063415122677</v>
      </c>
      <c r="P20" s="2">
        <v>177.2118423015003</v>
      </c>
      <c r="Q20" s="2">
        <v>104901.0281243129</v>
      </c>
      <c r="R20" s="3">
        <v>7.025816164176861E-2</v>
      </c>
      <c r="S20" s="2">
        <v>1191.8590486799451</v>
      </c>
      <c r="T20" s="7">
        <v>1111.789751341257</v>
      </c>
      <c r="U20" t="s">
        <v>55</v>
      </c>
      <c r="V20" s="5">
        <v>6.7458797771359604</v>
      </c>
      <c r="W20">
        <f t="shared" si="0"/>
        <v>1115.1392597415752</v>
      </c>
      <c r="X20">
        <f t="shared" si="1"/>
        <v>0.99699633173968383</v>
      </c>
      <c r="Y20">
        <f t="shared" si="2"/>
        <v>0.99999999999999956</v>
      </c>
      <c r="Z20">
        <f t="shared" si="3"/>
        <v>1.0000000001369596</v>
      </c>
    </row>
    <row r="21" spans="1:26" x14ac:dyDescent="0.25">
      <c r="A21" t="s">
        <v>39</v>
      </c>
      <c r="B21" s="9">
        <v>45811</v>
      </c>
      <c r="C21" s="2">
        <v>595.272216796875</v>
      </c>
      <c r="D21" s="3">
        <v>8.99640143942423E-2</v>
      </c>
      <c r="E21" s="4">
        <v>1.1042647873443461</v>
      </c>
      <c r="F21" s="5">
        <v>1.1042647873443461E-2</v>
      </c>
      <c r="G21" s="4">
        <v>17.529660053272579</v>
      </c>
      <c r="H21" s="5">
        <v>0.1752966005327258</v>
      </c>
      <c r="I21" s="3">
        <v>0.12</v>
      </c>
      <c r="J21" s="2">
        <v>11166.44890125633</v>
      </c>
      <c r="K21" s="2">
        <v>1488859.853500844</v>
      </c>
      <c r="L21" s="6">
        <v>13.228529182244531</v>
      </c>
      <c r="M21" s="7">
        <v>1.489785622917021</v>
      </c>
      <c r="N21" s="6">
        <v>6.5733814789319833</v>
      </c>
      <c r="O21" s="2">
        <v>1504.795541428482</v>
      </c>
      <c r="P21" s="2">
        <v>201.683375297167</v>
      </c>
      <c r="Q21" s="2">
        <v>120056.5099042207</v>
      </c>
      <c r="R21" s="3">
        <v>8.0636541862502881E-2</v>
      </c>
      <c r="S21" s="2">
        <v>1325.7417637868859</v>
      </c>
      <c r="T21" s="7">
        <v>1137.5380593696191</v>
      </c>
      <c r="U21" t="s">
        <v>55</v>
      </c>
      <c r="V21" s="5">
        <v>6.5931859934042292</v>
      </c>
      <c r="W21">
        <f t="shared" si="0"/>
        <v>1140.965273967116</v>
      </c>
      <c r="X21">
        <f t="shared" si="1"/>
        <v>0.99699621480539846</v>
      </c>
      <c r="Y21">
        <f t="shared" si="2"/>
        <v>0.99999999999999978</v>
      </c>
      <c r="Z21">
        <f t="shared" si="3"/>
        <v>1.0000000001347857</v>
      </c>
    </row>
    <row r="22" spans="1:26" x14ac:dyDescent="0.25">
      <c r="A22" t="s">
        <v>39</v>
      </c>
      <c r="B22" s="9">
        <v>45812</v>
      </c>
      <c r="C22" s="2">
        <v>595.11322021484375</v>
      </c>
      <c r="D22" s="3">
        <v>8.99640143942423E-2</v>
      </c>
      <c r="E22" s="4">
        <v>1.0775840710788249</v>
      </c>
      <c r="F22" s="5">
        <v>1.077584071078825E-2</v>
      </c>
      <c r="G22" s="4">
        <v>17.106116813034721</v>
      </c>
      <c r="H22" s="5">
        <v>0.17106116813034719</v>
      </c>
      <c r="I22" s="3">
        <v>0.12</v>
      </c>
      <c r="J22" s="2">
        <v>11230.396365610541</v>
      </c>
      <c r="K22" s="2">
        <v>1497386.1820814051</v>
      </c>
      <c r="L22" s="6">
        <v>13.76822912755895</v>
      </c>
      <c r="M22" s="7">
        <v>1.4896240834372469</v>
      </c>
      <c r="N22" s="6">
        <v>6.4128452659194073</v>
      </c>
      <c r="O22" s="2">
        <v>1605.395729385197</v>
      </c>
      <c r="P22" s="2">
        <v>215.14319546781809</v>
      </c>
      <c r="Q22" s="2">
        <v>128034.5598621648</v>
      </c>
      <c r="R22" s="3">
        <v>8.5505370220655769E-2</v>
      </c>
      <c r="S22" s="2">
        <v>1379.680022550571</v>
      </c>
      <c r="T22" s="7">
        <v>1166.0146809815819</v>
      </c>
      <c r="U22" t="s">
        <v>55</v>
      </c>
      <c r="V22" s="5">
        <v>6.4321660115688282</v>
      </c>
      <c r="W22">
        <f t="shared" si="0"/>
        <v>1169.5276728191461</v>
      </c>
      <c r="X22">
        <f t="shared" si="1"/>
        <v>0.9969962302567017</v>
      </c>
      <c r="Y22">
        <f t="shared" si="2"/>
        <v>0.99999999999999978</v>
      </c>
      <c r="Z22">
        <f t="shared" si="3"/>
        <v>1.0000000001326461</v>
      </c>
    </row>
    <row r="23" spans="1:26" x14ac:dyDescent="0.25">
      <c r="A23" t="s">
        <v>39</v>
      </c>
      <c r="B23" s="9">
        <v>45813</v>
      </c>
      <c r="C23" s="2">
        <v>592.34027099609375</v>
      </c>
      <c r="D23" s="3">
        <v>8.99640143942423E-2</v>
      </c>
      <c r="E23" s="4">
        <v>1.0624702512434729</v>
      </c>
      <c r="F23" s="5">
        <v>1.062470251243473E-2</v>
      </c>
      <c r="G23" s="4">
        <v>16.866192361167261</v>
      </c>
      <c r="H23" s="5">
        <v>0.16866192361167259</v>
      </c>
      <c r="I23" s="3">
        <v>0.12</v>
      </c>
      <c r="J23" s="2">
        <v>11210.896696448001</v>
      </c>
      <c r="K23" s="2">
        <v>1494786.226193066</v>
      </c>
      <c r="L23" s="6">
        <v>12.634796981923261</v>
      </c>
      <c r="M23" s="7">
        <v>1.4894651080761989</v>
      </c>
      <c r="N23" s="6">
        <v>6.2934391654684667</v>
      </c>
      <c r="O23" s="2">
        <v>1501.1877592491419</v>
      </c>
      <c r="P23" s="2">
        <v>201.15654828096021</v>
      </c>
      <c r="Q23" s="2">
        <v>119153.1243213828</v>
      </c>
      <c r="R23" s="3">
        <v>7.9712484791114882E-2</v>
      </c>
      <c r="S23" s="2">
        <v>1265.9664993418439</v>
      </c>
      <c r="T23" s="7">
        <v>1188.137618195929</v>
      </c>
      <c r="U23" t="s">
        <v>55</v>
      </c>
      <c r="V23" s="5">
        <v>6.3124000832395293</v>
      </c>
      <c r="W23">
        <f t="shared" si="0"/>
        <v>1191.7172475666127</v>
      </c>
      <c r="X23">
        <f t="shared" si="1"/>
        <v>0.99699624270942366</v>
      </c>
      <c r="Y23">
        <f t="shared" si="2"/>
        <v>1.0000000000000002</v>
      </c>
      <c r="Z23">
        <f t="shared" si="3"/>
        <v>1.0000000001305398</v>
      </c>
    </row>
    <row r="24" spans="1:26" x14ac:dyDescent="0.25">
      <c r="A24" t="s">
        <v>39</v>
      </c>
      <c r="B24" s="9">
        <v>45814</v>
      </c>
      <c r="C24" s="2">
        <v>598.323486328125</v>
      </c>
      <c r="D24" s="3">
        <v>8.99640143942423E-2</v>
      </c>
      <c r="E24" s="4">
        <v>1.040027753043675</v>
      </c>
      <c r="F24" s="5">
        <v>1.040027753043675E-2</v>
      </c>
      <c r="G24" s="4">
        <v>16.509928746953189</v>
      </c>
      <c r="H24" s="5">
        <v>0.1650992874695319</v>
      </c>
      <c r="I24" s="3">
        <v>0.12</v>
      </c>
      <c r="J24" s="2">
        <v>11186.97896177642</v>
      </c>
      <c r="K24" s="2">
        <v>1491597.194903523</v>
      </c>
      <c r="L24" s="6">
        <v>13.90364859554267</v>
      </c>
      <c r="M24" s="7">
        <v>1.4893086561335811</v>
      </c>
      <c r="N24" s="6">
        <v>6.2227303107909799</v>
      </c>
      <c r="O24" s="2">
        <v>1670.715721682398</v>
      </c>
      <c r="P24" s="2">
        <v>223.84948493886071</v>
      </c>
      <c r="Q24" s="2">
        <v>133934.4042413742</v>
      </c>
      <c r="R24" s="3">
        <v>8.9792609357942074E-2</v>
      </c>
      <c r="S24" s="2">
        <v>1392.9549749839971</v>
      </c>
      <c r="T24" s="7">
        <v>1201.6383398944711</v>
      </c>
      <c r="U24" t="s">
        <v>55</v>
      </c>
      <c r="V24" s="5">
        <v>6.2414786138220739</v>
      </c>
      <c r="W24">
        <f t="shared" si="0"/>
        <v>1205.2587249352714</v>
      </c>
      <c r="X24">
        <f t="shared" si="1"/>
        <v>0.99699617603598367</v>
      </c>
      <c r="Y24">
        <f t="shared" si="2"/>
        <v>0.99999999999999978</v>
      </c>
      <c r="Z24">
        <f t="shared" si="3"/>
        <v>1.0000000001284683</v>
      </c>
    </row>
    <row r="25" spans="1:26" x14ac:dyDescent="0.25">
      <c r="A25" t="s">
        <v>39</v>
      </c>
      <c r="B25" s="9">
        <v>45817</v>
      </c>
      <c r="C25" s="2">
        <v>598.8900146484375</v>
      </c>
      <c r="D25" s="3">
        <v>8.99640143942423E-2</v>
      </c>
      <c r="E25" s="4">
        <v>1.0139539879328621</v>
      </c>
      <c r="F25" s="5">
        <v>1.013953987932862E-2</v>
      </c>
      <c r="G25" s="4">
        <v>16.096020557595239</v>
      </c>
      <c r="H25" s="5">
        <v>0.16096020557595239</v>
      </c>
      <c r="I25" s="3">
        <v>0.12</v>
      </c>
      <c r="J25" s="2">
        <v>11224.714403689801</v>
      </c>
      <c r="K25" s="2">
        <v>1496628.5871586399</v>
      </c>
      <c r="L25" s="6">
        <v>14.535280425711109</v>
      </c>
      <c r="M25" s="7">
        <v>1.489154687555132</v>
      </c>
      <c r="N25" s="6">
        <v>6.0724691868595331</v>
      </c>
      <c r="O25" s="2">
        <v>1789.8343950348999</v>
      </c>
      <c r="P25" s="2">
        <v>239.784711223409</v>
      </c>
      <c r="Q25" s="2">
        <v>143604.66921705869</v>
      </c>
      <c r="R25" s="3">
        <v>9.5952108926165305E-2</v>
      </c>
      <c r="S25" s="2">
        <v>1456.085270384162</v>
      </c>
      <c r="T25" s="7">
        <v>1231.3724555798069</v>
      </c>
      <c r="U25" t="s">
        <v>55</v>
      </c>
      <c r="V25" s="5">
        <v>6.0907647933935047</v>
      </c>
      <c r="W25">
        <f t="shared" si="0"/>
        <v>1235.0824300977204</v>
      </c>
      <c r="X25">
        <f t="shared" si="1"/>
        <v>0.99699617254079154</v>
      </c>
      <c r="Y25">
        <f t="shared" si="2"/>
        <v>1.0000000000000004</v>
      </c>
      <c r="Z25">
        <f t="shared" si="3"/>
        <v>1.0000000001264286</v>
      </c>
    </row>
    <row r="26" spans="1:26" x14ac:dyDescent="0.25">
      <c r="A26" t="s">
        <v>39</v>
      </c>
      <c r="B26" s="9">
        <v>45818</v>
      </c>
      <c r="C26" s="2">
        <v>602.32891845703125</v>
      </c>
      <c r="D26" s="3">
        <v>8.99640143942423E-2</v>
      </c>
      <c r="E26" s="4">
        <v>0.98712078036263651</v>
      </c>
      <c r="F26" s="5">
        <v>9.871207803626365E-3</v>
      </c>
      <c r="G26" s="4">
        <v>15.670056592941281</v>
      </c>
      <c r="H26" s="5">
        <v>0.15670056592941281</v>
      </c>
      <c r="I26" s="3">
        <v>0.12</v>
      </c>
      <c r="J26" s="2">
        <v>11266.54529417644</v>
      </c>
      <c r="K26" s="2">
        <v>1502206.039223525</v>
      </c>
      <c r="L26" s="6">
        <v>15.084960589180589</v>
      </c>
      <c r="M26" s="7">
        <v>1.4890031629223719</v>
      </c>
      <c r="N26" s="6">
        <v>5.9457139202228753</v>
      </c>
      <c r="O26" s="2">
        <v>1897.1206803719831</v>
      </c>
      <c r="P26" s="2">
        <v>254.13202957327749</v>
      </c>
      <c r="Q26" s="2">
        <v>153071.07051816251</v>
      </c>
      <c r="R26" s="3">
        <v>0.10189752039426191</v>
      </c>
      <c r="S26" s="2">
        <v>1510.996345808328</v>
      </c>
      <c r="T26" s="7">
        <v>1257.6238891420489</v>
      </c>
      <c r="U26" t="s">
        <v>55</v>
      </c>
      <c r="V26" s="5">
        <v>5.9636271740325322</v>
      </c>
      <c r="W26">
        <f t="shared" si="0"/>
        <v>1261.4128598570148</v>
      </c>
      <c r="X26">
        <f t="shared" si="1"/>
        <v>0.99699624854356139</v>
      </c>
      <c r="Y26">
        <f t="shared" si="2"/>
        <v>1</v>
      </c>
      <c r="Z26">
        <f t="shared" si="3"/>
        <v>1.0000000001244225</v>
      </c>
    </row>
    <row r="27" spans="1:26" x14ac:dyDescent="0.25">
      <c r="A27" t="s">
        <v>39</v>
      </c>
      <c r="B27" s="9">
        <v>45819</v>
      </c>
      <c r="C27" s="2">
        <v>600.619384765625</v>
      </c>
      <c r="D27" s="3">
        <v>8.99640143942423E-2</v>
      </c>
      <c r="E27" s="4">
        <v>0.97059179127955697</v>
      </c>
      <c r="F27" s="5">
        <v>9.7059179127955697E-3</v>
      </c>
      <c r="G27" s="4">
        <v>15.407667025718499</v>
      </c>
      <c r="H27" s="5">
        <v>0.15407667025718499</v>
      </c>
      <c r="I27" s="3">
        <v>0.12</v>
      </c>
      <c r="J27" s="2">
        <v>11290.81186502896</v>
      </c>
      <c r="K27" s="2">
        <v>1505441.582003861</v>
      </c>
      <c r="L27" s="6">
        <v>14.37108072752746</v>
      </c>
      <c r="M27" s="7">
        <v>1.488854043442513</v>
      </c>
      <c r="N27" s="6">
        <v>5.8295624453689339</v>
      </c>
      <c r="O27" s="2">
        <v>1843.351857123879</v>
      </c>
      <c r="P27" s="2">
        <v>246.90460606428309</v>
      </c>
      <c r="Q27" s="2">
        <v>148295.69259012869</v>
      </c>
      <c r="R27" s="3">
        <v>9.8506441141831283E-2</v>
      </c>
      <c r="S27" s="2">
        <v>1439.3458191009561</v>
      </c>
      <c r="T27" s="7">
        <v>1282.6814434303351</v>
      </c>
      <c r="U27" t="s">
        <v>55</v>
      </c>
      <c r="V27" s="5">
        <v>5.8471259862794911</v>
      </c>
      <c r="W27">
        <f t="shared" si="0"/>
        <v>1286.5459578288039</v>
      </c>
      <c r="X27">
        <f t="shared" si="1"/>
        <v>0.99699620959907986</v>
      </c>
      <c r="Y27">
        <f t="shared" si="2"/>
        <v>1</v>
      </c>
      <c r="Z27">
        <f t="shared" si="3"/>
        <v>1.0000000001224478</v>
      </c>
    </row>
    <row r="28" spans="1:26" x14ac:dyDescent="0.25">
      <c r="A28" t="s">
        <v>39</v>
      </c>
      <c r="B28" s="9">
        <v>45820</v>
      </c>
      <c r="C28" s="2">
        <v>602.805908203125</v>
      </c>
      <c r="D28" s="3">
        <v>8.99640143942423E-2</v>
      </c>
      <c r="E28" s="4">
        <v>0.9451720768748999</v>
      </c>
      <c r="F28" s="5">
        <v>9.4517207687489987E-3</v>
      </c>
      <c r="G28" s="4">
        <v>15.004141569440449</v>
      </c>
      <c r="H28" s="5">
        <v>0.15004141569440449</v>
      </c>
      <c r="I28" s="3">
        <v>0.12</v>
      </c>
      <c r="J28" s="2">
        <v>11380.10131367037</v>
      </c>
      <c r="K28" s="2">
        <v>1517346.8418227159</v>
      </c>
      <c r="L28" s="6">
        <v>15.270689143246759</v>
      </c>
      <c r="M28" s="7">
        <v>1.4887072909385251</v>
      </c>
      <c r="N28" s="6">
        <v>5.6975531220880793</v>
      </c>
      <c r="O28" s="2">
        <v>2004.1257921750559</v>
      </c>
      <c r="P28" s="2">
        <v>268.41273596246299</v>
      </c>
      <c r="Q28" s="2">
        <v>161800.78307513811</v>
      </c>
      <c r="R28" s="3">
        <v>0.1066340131441369</v>
      </c>
      <c r="S28" s="2">
        <v>1529.295821791135</v>
      </c>
      <c r="T28" s="7">
        <v>1312.4003595223151</v>
      </c>
      <c r="U28" t="s">
        <v>55</v>
      </c>
      <c r="V28" s="5">
        <v>5.7147195561039279</v>
      </c>
      <c r="W28">
        <f t="shared" si="0"/>
        <v>1316.3545541899832</v>
      </c>
      <c r="X28">
        <f t="shared" si="1"/>
        <v>0.9969961021101178</v>
      </c>
      <c r="Y28">
        <f t="shared" si="2"/>
        <v>1</v>
      </c>
      <c r="Z28">
        <f t="shared" si="3"/>
        <v>1.0000000001205043</v>
      </c>
    </row>
    <row r="29" spans="1:26" x14ac:dyDescent="0.25">
      <c r="A29" t="s">
        <v>39</v>
      </c>
      <c r="B29" s="9">
        <v>45821</v>
      </c>
      <c r="C29" s="2">
        <v>596.126953125</v>
      </c>
      <c r="D29" s="3">
        <v>8.99640143942423E-2</v>
      </c>
      <c r="E29" s="4">
        <v>0.96549031270767705</v>
      </c>
      <c r="F29" s="5">
        <v>9.6549031270767704E-3</v>
      </c>
      <c r="G29" s="4">
        <v>15.326683563998991</v>
      </c>
      <c r="H29" s="5">
        <v>0.15326683563998991</v>
      </c>
      <c r="I29" s="3">
        <v>0.12</v>
      </c>
      <c r="J29" s="2">
        <v>11261.071951287089</v>
      </c>
      <c r="K29" s="2">
        <v>1501476.260171612</v>
      </c>
      <c r="L29" s="6">
        <v>10.57193551100365</v>
      </c>
      <c r="M29" s="7">
        <v>1.4885628678393621</v>
      </c>
      <c r="N29" s="6">
        <v>5.7555479838613097</v>
      </c>
      <c r="O29" s="2">
        <v>1373.4808471096389</v>
      </c>
      <c r="P29" s="2">
        <v>183.93255993684031</v>
      </c>
      <c r="Q29" s="2">
        <v>109647.15653563</v>
      </c>
      <c r="R29" s="3">
        <v>7.3026233876716709E-2</v>
      </c>
      <c r="S29" s="2">
        <v>1058.6326745109311</v>
      </c>
      <c r="T29" s="7">
        <v>1299.1763387887399</v>
      </c>
      <c r="U29" t="s">
        <v>55</v>
      </c>
      <c r="V29" s="5">
        <v>5.7728883878784831</v>
      </c>
      <c r="W29">
        <f t="shared" si="0"/>
        <v>1303.0905173634508</v>
      </c>
      <c r="X29">
        <f t="shared" si="1"/>
        <v>0.99699623431944662</v>
      </c>
      <c r="Y29">
        <f t="shared" si="2"/>
        <v>1.0000000000000002</v>
      </c>
      <c r="Z29">
        <f t="shared" si="3"/>
        <v>1.0000000001185907</v>
      </c>
    </row>
    <row r="30" spans="1:26" x14ac:dyDescent="0.25">
      <c r="A30" t="s">
        <v>39</v>
      </c>
      <c r="B30" s="9">
        <v>45824</v>
      </c>
      <c r="C30" s="2">
        <v>601.94647216796875</v>
      </c>
      <c r="D30" s="3">
        <v>8.99640143942423E-2</v>
      </c>
      <c r="E30" s="4">
        <v>0.94865916278606832</v>
      </c>
      <c r="F30" s="5">
        <v>9.4865916278606827E-3</v>
      </c>
      <c r="G30" s="4">
        <v>15.05949734216806</v>
      </c>
      <c r="H30" s="5">
        <v>0.1505949734216806</v>
      </c>
      <c r="I30" s="3">
        <v>0.12</v>
      </c>
      <c r="J30" s="2">
        <v>11303.27252402902</v>
      </c>
      <c r="K30" s="2">
        <v>1507103.0032038691</v>
      </c>
      <c r="L30" s="6">
        <v>13.152657867765059</v>
      </c>
      <c r="M30" s="7">
        <v>1.4884207371703451</v>
      </c>
      <c r="N30" s="6">
        <v>5.7104203632889261</v>
      </c>
      <c r="O30" s="2">
        <v>1722.2660346889149</v>
      </c>
      <c r="P30" s="2">
        <v>230.618835724745</v>
      </c>
      <c r="Q30" s="2">
        <v>138820.1945799946</v>
      </c>
      <c r="R30" s="3">
        <v>9.2110621692667469E-2</v>
      </c>
      <c r="S30" s="2">
        <v>1316.9304956805679</v>
      </c>
      <c r="T30" s="7">
        <v>1309.4433475000501</v>
      </c>
      <c r="U30" t="s">
        <v>55</v>
      </c>
      <c r="V30" s="5">
        <v>5.727624653879662</v>
      </c>
      <c r="W30">
        <f t="shared" si="0"/>
        <v>1313.3884237692725</v>
      </c>
      <c r="X30">
        <f t="shared" si="1"/>
        <v>0.99699626081833392</v>
      </c>
      <c r="Y30">
        <f t="shared" si="2"/>
        <v>1</v>
      </c>
      <c r="Z30">
        <f t="shared" si="3"/>
        <v>1.0000000001167091</v>
      </c>
    </row>
    <row r="31" spans="1:26" x14ac:dyDescent="0.25">
      <c r="A31" t="s">
        <v>39</v>
      </c>
      <c r="B31" s="9">
        <v>45825</v>
      </c>
      <c r="C31" s="2">
        <v>596.96148681640625</v>
      </c>
      <c r="D31" s="3">
        <v>8.99640143942423E-2</v>
      </c>
      <c r="E31" s="4">
        <v>0.95295616799441918</v>
      </c>
      <c r="F31" s="5">
        <v>9.5295616799441919E-3</v>
      </c>
      <c r="G31" s="4">
        <v>15.12771018514994</v>
      </c>
      <c r="H31" s="5">
        <v>0.1512771018514994</v>
      </c>
      <c r="I31" s="3">
        <v>0.12</v>
      </c>
      <c r="J31" s="2">
        <v>11211.69671328517</v>
      </c>
      <c r="K31" s="2">
        <v>1494892.89510469</v>
      </c>
      <c r="L31" s="6">
        <v>10.22879204388782</v>
      </c>
      <c r="M31" s="7">
        <v>1.488280862543693</v>
      </c>
      <c r="N31" s="6">
        <v>5.6887813091681352</v>
      </c>
      <c r="O31" s="2">
        <v>1344.497195058058</v>
      </c>
      <c r="P31" s="2">
        <v>180.0170432253978</v>
      </c>
      <c r="Q31" s="2">
        <v>107463.2417761267</v>
      </c>
      <c r="R31" s="3">
        <v>7.1886917201918282E-2</v>
      </c>
      <c r="S31" s="2">
        <v>1024.0775908323551</v>
      </c>
      <c r="T31" s="7">
        <v>1314.4242147942171</v>
      </c>
      <c r="U31" t="s">
        <v>55</v>
      </c>
      <c r="V31" s="5">
        <v>5.7059204445455114</v>
      </c>
      <c r="W31">
        <f t="shared" si="0"/>
        <v>1318.384306303509</v>
      </c>
      <c r="X31">
        <f t="shared" si="1"/>
        <v>0.99699625405857928</v>
      </c>
      <c r="Y31">
        <f t="shared" si="2"/>
        <v>0.99999999999999944</v>
      </c>
      <c r="Z31">
        <f t="shared" si="3"/>
        <v>1.0000000001148568</v>
      </c>
    </row>
    <row r="32" spans="1:26" x14ac:dyDescent="0.25">
      <c r="A32" t="s">
        <v>39</v>
      </c>
      <c r="B32" s="9">
        <v>45826</v>
      </c>
      <c r="C32" s="2">
        <v>596.8218994140625</v>
      </c>
      <c r="D32" s="3">
        <v>8.99640143942423E-2</v>
      </c>
      <c r="E32" s="4">
        <v>0.93151541060825105</v>
      </c>
      <c r="F32" s="5">
        <v>9.3151541060825099E-3</v>
      </c>
      <c r="G32" s="4">
        <v>14.787348713361901</v>
      </c>
      <c r="H32" s="5">
        <v>0.147873487133619</v>
      </c>
      <c r="I32" s="3">
        <v>0.12</v>
      </c>
      <c r="J32" s="2">
        <v>11211.59657155407</v>
      </c>
      <c r="K32" s="2">
        <v>1494879.5428738759</v>
      </c>
      <c r="L32" s="6">
        <v>9.0534964981976138</v>
      </c>
      <c r="M32" s="7">
        <v>1.4881432081492101</v>
      </c>
      <c r="N32" s="6">
        <v>5.5594879669268673</v>
      </c>
      <c r="O32" s="2">
        <v>1217.688874792758</v>
      </c>
      <c r="P32" s="2">
        <v>163.02337920943449</v>
      </c>
      <c r="Q32" s="2">
        <v>97295.922828673705</v>
      </c>
      <c r="R32" s="3">
        <v>6.5086129041290006E-2</v>
      </c>
      <c r="S32" s="2">
        <v>906.32651504260684</v>
      </c>
      <c r="T32" s="7">
        <v>1344.992926252502</v>
      </c>
      <c r="U32" t="s">
        <v>55</v>
      </c>
      <c r="V32" s="5">
        <v>5.5762375054989617</v>
      </c>
      <c r="W32">
        <f t="shared" si="0"/>
        <v>1349.0450999475397</v>
      </c>
      <c r="X32">
        <f t="shared" si="1"/>
        <v>0.99699626521367202</v>
      </c>
      <c r="Y32">
        <f t="shared" si="2"/>
        <v>0.99999999999999978</v>
      </c>
      <c r="Z32">
        <f t="shared" si="3"/>
        <v>1.000000000113034</v>
      </c>
    </row>
    <row r="33" spans="1:26" x14ac:dyDescent="0.25">
      <c r="A33" t="s">
        <v>39</v>
      </c>
      <c r="B33" s="9">
        <v>45827</v>
      </c>
      <c r="D33" s="3">
        <v>8.99640143942423E-2</v>
      </c>
      <c r="E33" s="4">
        <v>0.9316051677405065</v>
      </c>
      <c r="F33" s="5">
        <v>9.3160516774050649E-3</v>
      </c>
      <c r="G33" s="4">
        <v>14.788773563663961</v>
      </c>
      <c r="H33" s="5">
        <v>0.14788773563663959</v>
      </c>
      <c r="I33" s="3">
        <v>0.12</v>
      </c>
      <c r="J33" s="2">
        <v>11211.453858359429</v>
      </c>
      <c r="K33" s="2">
        <v>1494860.514447924</v>
      </c>
      <c r="L33" s="6">
        <v>9.0526157639381477</v>
      </c>
      <c r="M33" s="7">
        <v>1.4880077387451149</v>
      </c>
      <c r="O33" s="2">
        <v>1217.453107702635</v>
      </c>
      <c r="P33" s="2">
        <v>162.97697731481051</v>
      </c>
      <c r="T33" s="7">
        <v>1344.863340552309</v>
      </c>
      <c r="U33" t="s">
        <v>55</v>
      </c>
      <c r="V33" s="5">
        <v>5.5767748096396863</v>
      </c>
      <c r="W33" t="e">
        <f t="shared" ref="W33:W96" si="4">(1000000*I33/16)/(C33*F33)</f>
        <v>#DIV/0!</v>
      </c>
      <c r="X33" t="e">
        <f t="shared" ref="X33:X96" si="5">T33/W33</f>
        <v>#DIV/0!</v>
      </c>
      <c r="Y33">
        <f t="shared" si="2"/>
        <v>1.0000000000000007</v>
      </c>
      <c r="Z33">
        <f t="shared" si="3"/>
        <v>1.0000000001112381</v>
      </c>
    </row>
    <row r="34" spans="1:26" x14ac:dyDescent="0.25">
      <c r="A34" t="s">
        <v>39</v>
      </c>
      <c r="B34" s="9">
        <v>45828</v>
      </c>
      <c r="C34" s="2">
        <v>594.86773681640625</v>
      </c>
      <c r="D34" s="3">
        <v>8.99640143942423E-2</v>
      </c>
      <c r="E34" s="4">
        <v>0.93475542321566052</v>
      </c>
      <c r="F34" s="5">
        <v>9.3475542321566057E-3</v>
      </c>
      <c r="G34" s="4">
        <v>14.83878231898542</v>
      </c>
      <c r="H34" s="5">
        <v>0.14838782318985419</v>
      </c>
      <c r="I34" s="3">
        <v>0.12</v>
      </c>
      <c r="J34" s="2">
        <v>11199.953935458811</v>
      </c>
      <c r="K34" s="2">
        <v>1493327.1913945079</v>
      </c>
      <c r="L34" s="6">
        <v>4.0818011123564952</v>
      </c>
      <c r="M34" s="7">
        <v>1.4878744196490219</v>
      </c>
      <c r="N34" s="6">
        <v>5.5605584308516196</v>
      </c>
      <c r="O34" s="2">
        <v>548.89364845425121</v>
      </c>
      <c r="P34" s="2">
        <v>73.472244771906105</v>
      </c>
      <c r="Q34" s="2">
        <v>43706.267966284817</v>
      </c>
      <c r="R34" s="3">
        <v>2.9267710531320851E-2</v>
      </c>
      <c r="S34" s="2">
        <v>408.54671010001641</v>
      </c>
      <c r="T34" s="7">
        <v>1344.7339381446859</v>
      </c>
      <c r="U34" t="s">
        <v>55</v>
      </c>
      <c r="V34" s="5">
        <v>5.5773114571256102</v>
      </c>
      <c r="W34">
        <f t="shared" si="4"/>
        <v>1348.7853950761105</v>
      </c>
      <c r="X34">
        <f t="shared" si="5"/>
        <v>0.99699621826703133</v>
      </c>
      <c r="Y34">
        <f t="shared" si="2"/>
        <v>1.0000000000000002</v>
      </c>
      <c r="Z34">
        <f t="shared" si="3"/>
        <v>1.0000000001094722</v>
      </c>
    </row>
    <row r="35" spans="1:26" x14ac:dyDescent="0.25">
      <c r="A35" t="s">
        <v>39</v>
      </c>
      <c r="B35" s="9">
        <v>45831</v>
      </c>
      <c r="C35" s="2">
        <v>601.118896484375</v>
      </c>
      <c r="D35" s="3">
        <v>8.99640143942423E-2</v>
      </c>
      <c r="E35" s="4">
        <v>0.93164463156704469</v>
      </c>
      <c r="F35" s="5">
        <v>9.3164463156704472E-3</v>
      </c>
      <c r="G35" s="4">
        <v>14.78940003248878</v>
      </c>
      <c r="H35" s="5">
        <v>0.14789400032488781</v>
      </c>
      <c r="I35" s="3">
        <v>0.12</v>
      </c>
      <c r="J35" s="2">
        <v>11251.868419895611</v>
      </c>
      <c r="K35" s="2">
        <v>1500249.122652747</v>
      </c>
      <c r="L35" s="6">
        <v>10.014020970354499</v>
      </c>
      <c r="M35" s="7">
        <v>1.4877432167290581</v>
      </c>
      <c r="N35" s="6">
        <v>5.6002919284317407</v>
      </c>
      <c r="O35" s="2">
        <v>1346.6193856128291</v>
      </c>
      <c r="P35" s="2">
        <v>180.23605264103841</v>
      </c>
      <c r="Q35" s="2">
        <v>108343.29707028071</v>
      </c>
      <c r="R35" s="3">
        <v>7.221687080790129E-2</v>
      </c>
      <c r="S35" s="2">
        <v>1009.374510818006</v>
      </c>
      <c r="T35" s="7">
        <v>1344.7339381446859</v>
      </c>
      <c r="U35" t="s">
        <v>55</v>
      </c>
      <c r="V35" s="5">
        <v>5.5587506085103966</v>
      </c>
      <c r="W35">
        <f t="shared" si="4"/>
        <v>1339.2159008575536</v>
      </c>
      <c r="X35">
        <f t="shared" si="5"/>
        <v>1.004120349290655</v>
      </c>
      <c r="Y35">
        <f t="shared" si="2"/>
        <v>1.0033390324413543</v>
      </c>
      <c r="Z35">
        <f t="shared" si="3"/>
        <v>1.0000000001077345</v>
      </c>
    </row>
    <row r="36" spans="1:26" x14ac:dyDescent="0.25">
      <c r="A36" t="s">
        <v>39</v>
      </c>
      <c r="B36" s="9">
        <v>45832</v>
      </c>
      <c r="C36" s="2">
        <v>607.67919921875</v>
      </c>
      <c r="D36" s="3">
        <v>8.99640143942423E-2</v>
      </c>
      <c r="E36" s="4">
        <v>0.9282827108830527</v>
      </c>
      <c r="F36" s="5">
        <v>9.2828271088305266E-3</v>
      </c>
      <c r="G36" s="4">
        <v>14.73603119614457</v>
      </c>
      <c r="H36" s="5">
        <v>0.14736031196144581</v>
      </c>
      <c r="I36" s="3">
        <v>0.12</v>
      </c>
      <c r="J36" s="2">
        <v>11310.768814258099</v>
      </c>
      <c r="K36" s="2">
        <v>1508102.508567747</v>
      </c>
      <c r="L36" s="6">
        <v>13.8751091049677</v>
      </c>
      <c r="M36" s="7">
        <v>1.487614096395125</v>
      </c>
      <c r="N36" s="6">
        <v>5.6409809439802387</v>
      </c>
      <c r="O36" s="2">
        <v>1865.8330108910411</v>
      </c>
      <c r="P36" s="2">
        <v>249.70767087204359</v>
      </c>
      <c r="Q36" s="2">
        <v>151742.1574743026</v>
      </c>
      <c r="R36" s="3">
        <v>0.1006179332056234</v>
      </c>
      <c r="S36" s="2">
        <v>1408.5962129548871</v>
      </c>
      <c r="T36" s="7">
        <v>1344.7339381446859</v>
      </c>
      <c r="U36" t="s">
        <v>55</v>
      </c>
      <c r="V36" s="5">
        <v>5.5386913734601482</v>
      </c>
      <c r="W36">
        <f t="shared" si="4"/>
        <v>1329.555989371602</v>
      </c>
      <c r="X36">
        <f t="shared" si="5"/>
        <v>1.01141580263969</v>
      </c>
      <c r="Y36">
        <f t="shared" si="2"/>
        <v>1.0069727813054397</v>
      </c>
      <c r="Z36">
        <f t="shared" si="3"/>
        <v>1.0000000001060252</v>
      </c>
    </row>
    <row r="37" spans="1:26" x14ac:dyDescent="0.25">
      <c r="A37" t="s">
        <v>39</v>
      </c>
      <c r="B37" s="9">
        <v>45833</v>
      </c>
      <c r="C37" s="2">
        <v>608.12786865234375</v>
      </c>
      <c r="D37" s="3">
        <v>8.99640143942423E-2</v>
      </c>
      <c r="E37" s="4">
        <v>0.90569487587524933</v>
      </c>
      <c r="F37" s="5">
        <v>9.0569487587524936E-3</v>
      </c>
      <c r="G37" s="4">
        <v>14.37746043162854</v>
      </c>
      <c r="H37" s="5">
        <v>0.14377460431628539</v>
      </c>
      <c r="I37" s="3">
        <v>0.12</v>
      </c>
      <c r="J37" s="2">
        <v>11291.2382946005</v>
      </c>
      <c r="K37" s="2">
        <v>1505498.4392800671</v>
      </c>
      <c r="L37" s="6">
        <v>15.428943691557279</v>
      </c>
      <c r="M37" s="7">
        <v>1.487487025590301</v>
      </c>
      <c r="N37" s="6">
        <v>5.507782945153644</v>
      </c>
      <c r="O37" s="2">
        <v>2074.782421176044</v>
      </c>
      <c r="P37" s="2">
        <v>277.64801468314261</v>
      </c>
      <c r="Q37" s="2">
        <v>168845.4954048142</v>
      </c>
      <c r="R37" s="3">
        <v>0.112152554263395</v>
      </c>
      <c r="S37" s="2">
        <v>1529.225000027581</v>
      </c>
      <c r="T37" s="7">
        <v>1344.733938144687</v>
      </c>
      <c r="U37" t="s">
        <v>55</v>
      </c>
      <c r="V37" s="5">
        <v>5.4039188031686587</v>
      </c>
      <c r="W37">
        <f t="shared" si="4"/>
        <v>1361.7094345737296</v>
      </c>
      <c r="X37">
        <f t="shared" si="5"/>
        <v>0.98753368670434705</v>
      </c>
      <c r="Y37">
        <f t="shared" si="2"/>
        <v>1.0320864654471265</v>
      </c>
      <c r="Z37">
        <f t="shared" si="3"/>
        <v>1.0000000001043419</v>
      </c>
    </row>
    <row r="38" spans="1:26" x14ac:dyDescent="0.25">
      <c r="A38" t="s">
        <v>39</v>
      </c>
      <c r="B38" s="9">
        <v>45834</v>
      </c>
      <c r="C38" s="2">
        <v>612.91339111328125</v>
      </c>
      <c r="D38" s="3">
        <v>8.99640143942423E-2</v>
      </c>
      <c r="E38" s="4">
        <v>0.89182590943224938</v>
      </c>
      <c r="F38" s="5">
        <v>8.9182590943224938E-3</v>
      </c>
      <c r="G38" s="4">
        <v>14.15729741473047</v>
      </c>
      <c r="H38" s="5">
        <v>0.14157297414730469</v>
      </c>
      <c r="I38" s="3">
        <v>0.12</v>
      </c>
      <c r="J38" s="2">
        <v>11374.30242335237</v>
      </c>
      <c r="K38" s="2">
        <v>1516573.6564469819</v>
      </c>
      <c r="L38" s="6">
        <v>16.447387862592109</v>
      </c>
      <c r="M38" s="7">
        <v>1.4873619717823801</v>
      </c>
      <c r="N38" s="6">
        <v>5.4661204243280599</v>
      </c>
      <c r="O38" s="2">
        <v>2211.7360652656612</v>
      </c>
      <c r="P38" s="2">
        <v>295.95031020413239</v>
      </c>
      <c r="Q38" s="2">
        <v>181391.9082282423</v>
      </c>
      <c r="R38" s="3">
        <v>0.1196063952826439</v>
      </c>
      <c r="S38" s="2">
        <v>1617.700035193033</v>
      </c>
      <c r="T38" s="7">
        <v>1344.7339381446859</v>
      </c>
      <c r="U38" t="s">
        <v>55</v>
      </c>
      <c r="V38" s="5">
        <v>5.3211682317144309</v>
      </c>
      <c r="W38">
        <f t="shared" si="4"/>
        <v>1372.0883218415302</v>
      </c>
      <c r="X38">
        <f t="shared" si="5"/>
        <v>0.98006368594396975</v>
      </c>
      <c r="Y38">
        <f t="shared" si="2"/>
        <v>1.0481366523773021</v>
      </c>
      <c r="Z38">
        <f t="shared" si="3"/>
        <v>1.0000000001026859</v>
      </c>
    </row>
    <row r="39" spans="1:26" x14ac:dyDescent="0.25">
      <c r="A39" t="s">
        <v>39</v>
      </c>
      <c r="B39" s="9">
        <v>45835</v>
      </c>
      <c r="C39" s="2">
        <v>615.60528564453125</v>
      </c>
      <c r="D39" s="3">
        <v>8.99640143942423E-2</v>
      </c>
      <c r="E39" s="4">
        <v>0.87141195343018574</v>
      </c>
      <c r="F39" s="5">
        <v>8.7141195343018573E-3</v>
      </c>
      <c r="G39" s="4">
        <v>13.83323590959162</v>
      </c>
      <c r="H39" s="5">
        <v>0.13833235909591621</v>
      </c>
      <c r="I39" s="3">
        <v>0.12</v>
      </c>
      <c r="J39" s="2">
        <v>11355.400606645249</v>
      </c>
      <c r="K39" s="2">
        <v>1514053.4142193659</v>
      </c>
      <c r="L39" s="6">
        <v>17.215816245651769</v>
      </c>
      <c r="M39" s="7">
        <v>1.4872389029555371</v>
      </c>
      <c r="N39" s="6">
        <v>5.3644580450544854</v>
      </c>
      <c r="O39" s="2">
        <v>2315.0692378390572</v>
      </c>
      <c r="P39" s="2">
        <v>309.75159235123289</v>
      </c>
      <c r="Q39" s="2">
        <v>190684.71748822919</v>
      </c>
      <c r="R39" s="3">
        <v>0.12594319044321481</v>
      </c>
      <c r="S39" s="2">
        <v>1661.649421557009</v>
      </c>
      <c r="T39" s="7">
        <v>1344.7339381446859</v>
      </c>
      <c r="U39" t="s">
        <v>55</v>
      </c>
      <c r="V39" s="5">
        <v>5.199366327314781</v>
      </c>
      <c r="W39">
        <f t="shared" si="4"/>
        <v>1398.0909044324208</v>
      </c>
      <c r="X39">
        <f t="shared" si="5"/>
        <v>0.96183583905840797</v>
      </c>
      <c r="Y39">
        <f t="shared" si="2"/>
        <v>1.0726906138206307</v>
      </c>
      <c r="Z39">
        <f t="shared" si="3"/>
        <v>1.0000000001010563</v>
      </c>
    </row>
    <row r="40" spans="1:26" x14ac:dyDescent="0.25">
      <c r="A40" t="s">
        <v>39</v>
      </c>
      <c r="B40" s="9">
        <v>45838</v>
      </c>
      <c r="C40" s="2">
        <v>619.03497314453125</v>
      </c>
      <c r="D40" s="3">
        <v>8.99640143942423E-2</v>
      </c>
      <c r="E40" s="4">
        <v>0.85320300389507031</v>
      </c>
      <c r="F40" s="5">
        <v>8.5320300389507032E-3</v>
      </c>
      <c r="G40" s="4">
        <v>13.544177796957779</v>
      </c>
      <c r="H40" s="5">
        <v>0.13544177796957779</v>
      </c>
      <c r="I40" s="3">
        <v>0.12</v>
      </c>
      <c r="J40" s="2">
        <v>11453.77531950497</v>
      </c>
      <c r="K40" s="2">
        <v>1527170.0426006629</v>
      </c>
      <c r="L40" s="6">
        <v>17.912409441792281</v>
      </c>
      <c r="M40" s="7">
        <v>1.487117787602136</v>
      </c>
      <c r="N40" s="6">
        <v>5.2816249860301827</v>
      </c>
      <c r="O40" s="2">
        <v>2408.742489032139</v>
      </c>
      <c r="P40" s="2">
        <v>322.25863861983618</v>
      </c>
      <c r="Q40" s="2">
        <v>199489.36770362349</v>
      </c>
      <c r="R40" s="3">
        <v>0.13062682094255021</v>
      </c>
      <c r="S40" s="2">
        <v>1702.049277698598</v>
      </c>
      <c r="T40" s="7">
        <v>1344.7339381446859</v>
      </c>
      <c r="U40" t="s">
        <v>55</v>
      </c>
      <c r="V40" s="5">
        <v>5.0907208139086606</v>
      </c>
      <c r="W40">
        <f t="shared" si="4"/>
        <v>1420.0175173052585</v>
      </c>
      <c r="X40">
        <f t="shared" si="5"/>
        <v>0.94698404896903188</v>
      </c>
      <c r="Y40">
        <f t="shared" si="2"/>
        <v>1.0955838398930675</v>
      </c>
      <c r="Z40">
        <f t="shared" si="3"/>
        <v>1.0000000000994522</v>
      </c>
    </row>
    <row r="41" spans="1:26" x14ac:dyDescent="0.25">
      <c r="A41" t="s">
        <v>39</v>
      </c>
      <c r="B41" s="9">
        <v>45839</v>
      </c>
      <c r="C41" s="2">
        <v>618.80560302734375</v>
      </c>
      <c r="D41" s="3">
        <v>8.99640143942423E-2</v>
      </c>
      <c r="E41" s="4">
        <v>0.83549955766653883</v>
      </c>
      <c r="F41" s="5">
        <v>8.3549955766653878E-3</v>
      </c>
      <c r="G41" s="4">
        <v>13.26314430054078</v>
      </c>
      <c r="H41" s="5">
        <v>0.1326314430054078</v>
      </c>
      <c r="I41" s="3">
        <v>0.12</v>
      </c>
      <c r="J41" s="2">
        <v>11472.799070400501</v>
      </c>
      <c r="K41" s="2">
        <v>1529706.5427200671</v>
      </c>
      <c r="L41" s="6">
        <v>18.24132317597843</v>
      </c>
      <c r="M41" s="7">
        <v>1.486998594714662</v>
      </c>
      <c r="N41" s="6">
        <v>5.1701180761092154</v>
      </c>
      <c r="O41" s="2">
        <v>2452.972635140341</v>
      </c>
      <c r="P41" s="2">
        <v>328.14975758428511</v>
      </c>
      <c r="Q41" s="2">
        <v>203060.90862522021</v>
      </c>
      <c r="R41" s="3">
        <v>0.13274500889833729</v>
      </c>
      <c r="S41" s="2">
        <v>1696.5729933573689</v>
      </c>
      <c r="T41" s="7">
        <v>1344.7339381446859</v>
      </c>
      <c r="U41" t="s">
        <v>55</v>
      </c>
      <c r="V41" s="5">
        <v>4.9850914363958472</v>
      </c>
      <c r="W41">
        <f t="shared" si="4"/>
        <v>1450.6438517636609</v>
      </c>
      <c r="X41">
        <f t="shared" si="5"/>
        <v>0.92699109882124953</v>
      </c>
      <c r="Y41">
        <f t="shared" si="2"/>
        <v>1.1187982263286089</v>
      </c>
      <c r="Z41">
        <f t="shared" si="3"/>
        <v>1.0000000000978728</v>
      </c>
    </row>
    <row r="42" spans="1:26" x14ac:dyDescent="0.25">
      <c r="A42" t="s">
        <v>39</v>
      </c>
      <c r="B42" s="9">
        <v>45840</v>
      </c>
      <c r="C42" s="2">
        <v>621.54736328125</v>
      </c>
      <c r="D42" s="3">
        <v>8.99640143942423E-2</v>
      </c>
      <c r="E42" s="4">
        <v>0.81725735897232843</v>
      </c>
      <c r="F42" s="5">
        <v>8.1725735897232848E-3</v>
      </c>
      <c r="G42" s="4">
        <v>12.97355837386934</v>
      </c>
      <c r="H42" s="5">
        <v>0.1297355837386934</v>
      </c>
      <c r="I42" s="3">
        <v>0.12</v>
      </c>
      <c r="J42" s="2">
        <v>11472.531288451421</v>
      </c>
      <c r="K42" s="2">
        <v>1529670.8384601891</v>
      </c>
      <c r="L42" s="6">
        <v>18.622564054566631</v>
      </c>
      <c r="M42" s="7">
        <v>1.486881293777782</v>
      </c>
      <c r="N42" s="6">
        <v>5.0796415659144882</v>
      </c>
      <c r="O42" s="2">
        <v>2504.2393899449062</v>
      </c>
      <c r="P42" s="2">
        <v>334.98161068799737</v>
      </c>
      <c r="Q42" s="2">
        <v>208206.93687083101</v>
      </c>
      <c r="R42" s="3">
        <v>0.13611224822748019</v>
      </c>
      <c r="S42" s="2">
        <v>1701.5865134677369</v>
      </c>
      <c r="T42" s="7">
        <v>1344.7339381446859</v>
      </c>
      <c r="U42" t="s">
        <v>55</v>
      </c>
      <c r="V42" s="5">
        <v>4.876247538566</v>
      </c>
      <c r="W42">
        <f t="shared" si="4"/>
        <v>1476.4821302208898</v>
      </c>
      <c r="X42">
        <f t="shared" si="5"/>
        <v>0.9107688543060839</v>
      </c>
      <c r="Y42">
        <f t="shared" si="2"/>
        <v>1.143771191477654</v>
      </c>
      <c r="Z42">
        <f t="shared" si="3"/>
        <v>1.0000000000963198</v>
      </c>
    </row>
    <row r="43" spans="1:26" x14ac:dyDescent="0.25">
      <c r="A43" t="s">
        <v>39</v>
      </c>
      <c r="B43" s="9">
        <v>45841</v>
      </c>
      <c r="C43" s="2">
        <v>626.2830810546875</v>
      </c>
      <c r="D43" s="3">
        <v>8.99640143942423E-2</v>
      </c>
      <c r="E43" s="4">
        <v>0.80563077910816427</v>
      </c>
      <c r="F43" s="5">
        <v>8.0563077910816433E-3</v>
      </c>
      <c r="G43" s="4">
        <v>12.788992140356481</v>
      </c>
      <c r="H43" s="5">
        <v>0.12788992140356481</v>
      </c>
      <c r="I43" s="3">
        <v>0.12</v>
      </c>
      <c r="J43" s="2">
        <v>11493.69454475796</v>
      </c>
      <c r="K43" s="2">
        <v>1532492.605967728</v>
      </c>
      <c r="L43" s="6">
        <v>18.877360367642769</v>
      </c>
      <c r="M43" s="7">
        <v>1.486765854760536</v>
      </c>
      <c r="N43" s="6">
        <v>5.0455292653234949</v>
      </c>
      <c r="O43" s="2">
        <v>2538.5027148956679</v>
      </c>
      <c r="P43" s="2">
        <v>339.5385088494042</v>
      </c>
      <c r="Q43" s="2">
        <v>212647.22345891921</v>
      </c>
      <c r="R43" s="3">
        <v>0.13875905347330411</v>
      </c>
      <c r="S43" s="2">
        <v>1713.151483103969</v>
      </c>
      <c r="T43" s="7">
        <v>1344.7339381446859</v>
      </c>
      <c r="U43" t="s">
        <v>55</v>
      </c>
      <c r="V43" s="5">
        <v>4.8068763902708511</v>
      </c>
      <c r="W43">
        <f t="shared" si="4"/>
        <v>1486.464472923662</v>
      </c>
      <c r="X43">
        <f t="shared" si="5"/>
        <v>0.90465259186436353</v>
      </c>
      <c r="Y43">
        <f t="shared" si="2"/>
        <v>1.1602776947653837</v>
      </c>
      <c r="Z43">
        <f t="shared" si="3"/>
        <v>1.0000000000947906</v>
      </c>
    </row>
    <row r="44" spans="1:26" x14ac:dyDescent="0.25">
      <c r="A44" t="s">
        <v>39</v>
      </c>
      <c r="B44" s="9">
        <v>45842</v>
      </c>
      <c r="D44" s="3">
        <v>8.99640143942423E-2</v>
      </c>
      <c r="E44" s="4">
        <v>0.80566433889184863</v>
      </c>
      <c r="F44" s="5">
        <v>8.0566433889184864E-3</v>
      </c>
      <c r="G44" s="4">
        <v>12.78952488540657</v>
      </c>
      <c r="H44" s="5">
        <v>0.1278952488540657</v>
      </c>
      <c r="I44" s="3">
        <v>0.12</v>
      </c>
      <c r="J44" s="2">
        <v>11493.607846543629</v>
      </c>
      <c r="K44" s="2">
        <v>1532481.046205817</v>
      </c>
      <c r="L44" s="6">
        <v>18.873843414596831</v>
      </c>
      <c r="M44" s="7">
        <v>1.486652248108643</v>
      </c>
      <c r="O44" s="2">
        <v>2538.029778283696</v>
      </c>
      <c r="P44" s="2">
        <v>339.44931105259252</v>
      </c>
      <c r="T44" s="7">
        <v>1344.7339381446859</v>
      </c>
      <c r="U44" t="s">
        <v>55</v>
      </c>
      <c r="V44" s="5">
        <v>4.8070766280671693</v>
      </c>
      <c r="W44" t="e">
        <f t="shared" si="4"/>
        <v>#DIV/0!</v>
      </c>
      <c r="X44" t="e">
        <f t="shared" si="5"/>
        <v>#DIV/0!</v>
      </c>
      <c r="Y44">
        <f t="shared" si="2"/>
        <v>1.1602293636347001</v>
      </c>
      <c r="Z44">
        <f t="shared" si="3"/>
        <v>1.000000000093286</v>
      </c>
    </row>
    <row r="45" spans="1:26" x14ac:dyDescent="0.25">
      <c r="A45" t="s">
        <v>39</v>
      </c>
      <c r="B45" s="9">
        <v>45845</v>
      </c>
      <c r="C45" s="2">
        <v>621.9561767578125</v>
      </c>
      <c r="D45" s="3">
        <v>8.99640143942423E-2</v>
      </c>
      <c r="E45" s="4">
        <v>0.80569785782323433</v>
      </c>
      <c r="F45" s="5">
        <v>8.0569785782323433E-3</v>
      </c>
      <c r="G45" s="4">
        <v>12.790056981946529</v>
      </c>
      <c r="H45" s="5">
        <v>0.12790056981946529</v>
      </c>
      <c r="I45" s="3">
        <v>0.12</v>
      </c>
      <c r="J45" s="2">
        <v>11345.62805807682</v>
      </c>
      <c r="K45" s="2">
        <v>1512750.407743576</v>
      </c>
      <c r="L45" s="6">
        <v>16.726958358527622</v>
      </c>
      <c r="M45" s="7">
        <v>1.4865404447369379</v>
      </c>
      <c r="N45" s="6">
        <v>5.0110875927369838</v>
      </c>
      <c r="O45" s="2">
        <v>2249.330858664503</v>
      </c>
      <c r="P45" s="2">
        <v>300.81459068606642</v>
      </c>
      <c r="Q45" s="2">
        <v>187093.4927360721</v>
      </c>
      <c r="R45" s="3">
        <v>0.1236777010790177</v>
      </c>
      <c r="S45" s="2">
        <v>1507.408263101202</v>
      </c>
      <c r="T45" s="7">
        <v>1344.7339381446859</v>
      </c>
      <c r="U45" t="s">
        <v>55</v>
      </c>
      <c r="V45" s="5">
        <v>4.8072766221141734</v>
      </c>
      <c r="W45">
        <f t="shared" si="4"/>
        <v>1496.6810819412574</v>
      </c>
      <c r="X45">
        <f t="shared" si="5"/>
        <v>0.89847727372922381</v>
      </c>
      <c r="Y45">
        <f t="shared" si="2"/>
        <v>1.1601810953563949</v>
      </c>
      <c r="Z45">
        <f t="shared" si="3"/>
        <v>1.0000000000918052</v>
      </c>
    </row>
    <row r="46" spans="1:26" x14ac:dyDescent="0.25">
      <c r="A46" t="s">
        <v>39</v>
      </c>
      <c r="B46" s="9">
        <v>45846</v>
      </c>
      <c r="C46" s="2">
        <v>621.45770263671875</v>
      </c>
      <c r="D46" s="3">
        <v>8.99640143942423E-2</v>
      </c>
      <c r="E46" s="4">
        <v>0.78963056229781736</v>
      </c>
      <c r="F46" s="5">
        <v>7.8963056229781736E-3</v>
      </c>
      <c r="G46" s="4">
        <v>12.53499657273672</v>
      </c>
      <c r="H46" s="5">
        <v>0.1253499657273672</v>
      </c>
      <c r="I46" s="3">
        <v>0.12</v>
      </c>
      <c r="J46" s="2">
        <v>11345.818958213529</v>
      </c>
      <c r="K46" s="2">
        <v>1512775.8610951379</v>
      </c>
      <c r="L46" s="6">
        <v>16.006078042481171</v>
      </c>
      <c r="M46" s="7">
        <v>1.486430416021927</v>
      </c>
      <c r="N46" s="6">
        <v>4.9072199517734196</v>
      </c>
      <c r="O46" s="2">
        <v>2152.3916360316898</v>
      </c>
      <c r="P46" s="2">
        <v>287.82910388141522</v>
      </c>
      <c r="Q46" s="2">
        <v>178873.6136501297</v>
      </c>
      <c r="R46" s="3">
        <v>0.11824198035566121</v>
      </c>
      <c r="S46" s="2">
        <v>1412.440721267945</v>
      </c>
      <c r="T46" s="7">
        <v>1344.733938144687</v>
      </c>
      <c r="U46" t="s">
        <v>55</v>
      </c>
      <c r="V46" s="5">
        <v>4.7114095009471679</v>
      </c>
      <c r="W46">
        <f t="shared" si="4"/>
        <v>1528.3602678721536</v>
      </c>
      <c r="X46">
        <f t="shared" si="5"/>
        <v>0.8798540281453936</v>
      </c>
      <c r="Y46">
        <f t="shared" si="2"/>
        <v>1.1837883028432066</v>
      </c>
      <c r="Z46">
        <f t="shared" si="3"/>
        <v>1.0000000000903488</v>
      </c>
    </row>
    <row r="47" spans="1:26" x14ac:dyDescent="0.25">
      <c r="A47" t="s">
        <v>39</v>
      </c>
      <c r="B47" s="9">
        <v>45847</v>
      </c>
      <c r="C47" s="2">
        <v>625.14654541015625</v>
      </c>
      <c r="D47" s="3">
        <v>8.99640143942423E-2</v>
      </c>
      <c r="E47" s="4">
        <v>0.77372146638877215</v>
      </c>
      <c r="F47" s="5">
        <v>7.7372146638877218E-3</v>
      </c>
      <c r="G47" s="4">
        <v>12.282447504581469</v>
      </c>
      <c r="H47" s="5">
        <v>0.1228244750458147</v>
      </c>
      <c r="I47" s="3">
        <v>0.12</v>
      </c>
      <c r="J47" s="2">
        <v>11405.96652409076</v>
      </c>
      <c r="K47" s="2">
        <v>1520795.536545435</v>
      </c>
      <c r="L47" s="6">
        <v>17.386188552579</v>
      </c>
      <c r="M47" s="7">
        <v>1.486322133794457</v>
      </c>
      <c r="N47" s="6">
        <v>4.8368930182262124</v>
      </c>
      <c r="O47" s="2">
        <v>2337.9797801635618</v>
      </c>
      <c r="P47" s="2">
        <v>312.62414891851472</v>
      </c>
      <c r="Q47" s="2">
        <v>195435.90670819971</v>
      </c>
      <c r="R47" s="3">
        <v>0.12850899546440181</v>
      </c>
      <c r="S47" s="2">
        <v>1512.1295632328761</v>
      </c>
      <c r="T47" s="7">
        <v>1344.7339381446859</v>
      </c>
      <c r="U47" t="s">
        <v>55</v>
      </c>
      <c r="V47" s="5">
        <v>4.6164862935687214</v>
      </c>
      <c r="W47">
        <f t="shared" si="4"/>
        <v>1550.5821550608541</v>
      </c>
      <c r="X47">
        <f t="shared" si="5"/>
        <v>0.86724455957118285</v>
      </c>
      <c r="Y47">
        <f t="shared" si="2"/>
        <v>1.2081291056567041</v>
      </c>
      <c r="Z47">
        <f t="shared" si="3"/>
        <v>1.0000000000889144</v>
      </c>
    </row>
    <row r="48" spans="1:26" x14ac:dyDescent="0.25">
      <c r="A48" t="s">
        <v>39</v>
      </c>
      <c r="B48" s="9">
        <v>45848</v>
      </c>
      <c r="C48" s="2">
        <v>626.9610595703125</v>
      </c>
      <c r="D48" s="3">
        <v>8.99640143942423E-2</v>
      </c>
      <c r="E48" s="4">
        <v>0.7550815797789765</v>
      </c>
      <c r="F48" s="5">
        <v>7.5508157977897646E-3</v>
      </c>
      <c r="G48" s="4">
        <v>11.9865484779657</v>
      </c>
      <c r="H48" s="5">
        <v>0.119865484779657</v>
      </c>
      <c r="I48" s="3">
        <v>0.12</v>
      </c>
      <c r="J48" s="2">
        <v>11408.1603560659</v>
      </c>
      <c r="K48" s="2">
        <v>1521088.047475453</v>
      </c>
      <c r="L48" s="6">
        <v>18.613566969046499</v>
      </c>
      <c r="M48" s="7">
        <v>1.4862155703325011</v>
      </c>
      <c r="N48" s="6">
        <v>4.7340674732025256</v>
      </c>
      <c r="O48" s="2">
        <v>2503.0295213205759</v>
      </c>
      <c r="P48" s="2">
        <v>334.66986230874937</v>
      </c>
      <c r="Q48" s="2">
        <v>209824.97147934409</v>
      </c>
      <c r="R48" s="3">
        <v>0.1379440012217506</v>
      </c>
      <c r="S48" s="2">
        <v>1584.3497094170179</v>
      </c>
      <c r="T48" s="7">
        <v>1344.7339381446859</v>
      </c>
      <c r="U48" t="s">
        <v>55</v>
      </c>
      <c r="V48" s="5">
        <v>4.5052695511285439</v>
      </c>
      <c r="W48">
        <f t="shared" si="4"/>
        <v>1584.2613233660488</v>
      </c>
      <c r="X48">
        <f t="shared" si="5"/>
        <v>0.84880815955763922</v>
      </c>
      <c r="Y48">
        <f t="shared" si="2"/>
        <v>1.2379528891292479</v>
      </c>
      <c r="Z48">
        <f t="shared" si="3"/>
        <v>1.0000000000875027</v>
      </c>
    </row>
    <row r="49" spans="1:26" x14ac:dyDescent="0.25">
      <c r="A49" t="s">
        <v>39</v>
      </c>
      <c r="B49" s="9">
        <v>45849</v>
      </c>
      <c r="C49" s="2">
        <v>624.55828857421875</v>
      </c>
      <c r="D49" s="3">
        <v>8.99640143942423E-2</v>
      </c>
      <c r="E49" s="4">
        <v>0.75157416965419421</v>
      </c>
      <c r="F49" s="5">
        <v>7.5157416965419416E-3</v>
      </c>
      <c r="G49" s="4">
        <v>11.93087006834919</v>
      </c>
      <c r="H49" s="5">
        <v>0.11930870068349191</v>
      </c>
      <c r="I49" s="3">
        <v>0.12</v>
      </c>
      <c r="J49" s="2">
        <v>11352.29831251513</v>
      </c>
      <c r="K49" s="2">
        <v>1513639.7750020181</v>
      </c>
      <c r="L49" s="6">
        <v>16.7592887962576</v>
      </c>
      <c r="M49" s="7">
        <v>1.4861106983540691</v>
      </c>
      <c r="N49" s="6">
        <v>4.6940187713581309</v>
      </c>
      <c r="O49" s="2">
        <v>2253.6784423495601</v>
      </c>
      <c r="P49" s="2">
        <v>301.30888436460219</v>
      </c>
      <c r="Q49" s="2">
        <v>188184.96115096321</v>
      </c>
      <c r="R49" s="3">
        <v>0.1243261205597694</v>
      </c>
      <c r="S49" s="2">
        <v>1414.3495591844189</v>
      </c>
      <c r="T49" s="7">
        <v>1344.7339381446859</v>
      </c>
      <c r="U49" t="s">
        <v>55</v>
      </c>
      <c r="V49" s="5">
        <v>4.4843422388199494</v>
      </c>
      <c r="W49">
        <f t="shared" si="4"/>
        <v>1597.7780160921704</v>
      </c>
      <c r="X49">
        <f t="shared" si="5"/>
        <v>0.84162751308446637</v>
      </c>
      <c r="Y49">
        <f t="shared" si="2"/>
        <v>1.2437301080287921</v>
      </c>
      <c r="Z49">
        <f t="shared" si="3"/>
        <v>1.000000000086114</v>
      </c>
    </row>
    <row r="50" spans="1:26" x14ac:dyDescent="0.25">
      <c r="A50" t="s">
        <v>39</v>
      </c>
      <c r="B50" s="9">
        <v>45852</v>
      </c>
      <c r="C50" s="2">
        <v>625.8543701171875</v>
      </c>
      <c r="D50" s="3">
        <v>8.99640143942423E-2</v>
      </c>
      <c r="E50" s="4">
        <v>0.73403183853144005</v>
      </c>
      <c r="F50" s="5">
        <v>7.3403183853144004E-3</v>
      </c>
      <c r="G50" s="4">
        <v>11.652394194946259</v>
      </c>
      <c r="H50" s="5">
        <v>0.1165239419494626</v>
      </c>
      <c r="I50" s="3">
        <v>0.12</v>
      </c>
      <c r="J50" s="2">
        <v>11358.429135185959</v>
      </c>
      <c r="K50" s="2">
        <v>1514457.2180247949</v>
      </c>
      <c r="L50" s="6">
        <v>17.355532372461081</v>
      </c>
      <c r="M50" s="7">
        <v>1.486007491010215</v>
      </c>
      <c r="N50" s="6">
        <v>4.5939703395005536</v>
      </c>
      <c r="O50" s="2">
        <v>2333.857339581718</v>
      </c>
      <c r="P50" s="2">
        <v>312.00685129411448</v>
      </c>
      <c r="Q50" s="2">
        <v>195270.85138892499</v>
      </c>
      <c r="R50" s="3">
        <v>0.1289378458928036</v>
      </c>
      <c r="S50" s="2">
        <v>1433.3502205661221</v>
      </c>
      <c r="T50" s="7">
        <v>1344.7339381446859</v>
      </c>
      <c r="U50" t="s">
        <v>55</v>
      </c>
      <c r="V50" s="5">
        <v>4.379674170653999</v>
      </c>
      <c r="W50">
        <f t="shared" si="4"/>
        <v>1632.5747546762311</v>
      </c>
      <c r="X50">
        <f t="shared" si="5"/>
        <v>0.8236890435141947</v>
      </c>
      <c r="Y50">
        <f t="shared" si="2"/>
        <v>1.2734535127056665</v>
      </c>
      <c r="Z50">
        <f t="shared" si="3"/>
        <v>1.0000000000847467</v>
      </c>
    </row>
    <row r="51" spans="1:26" x14ac:dyDescent="0.25">
      <c r="A51" t="s">
        <v>39</v>
      </c>
      <c r="B51" s="9">
        <v>45853</v>
      </c>
      <c r="C51" s="2">
        <v>623.1126708984375</v>
      </c>
      <c r="D51" s="3">
        <v>8.99640143942423E-2</v>
      </c>
      <c r="E51" s="4">
        <v>0.73219934385630303</v>
      </c>
      <c r="F51" s="5">
        <v>7.3219934385630302E-3</v>
      </c>
      <c r="G51" s="4">
        <v>11.623304243810679</v>
      </c>
      <c r="H51" s="5">
        <v>0.1162330424381068</v>
      </c>
      <c r="I51" s="3">
        <v>0.12</v>
      </c>
      <c r="J51" s="2">
        <v>11309.002685115909</v>
      </c>
      <c r="K51" s="2">
        <v>1507867.0246821209</v>
      </c>
      <c r="L51" s="6">
        <v>13.39064251854807</v>
      </c>
      <c r="M51" s="7">
        <v>1.4859059218781681</v>
      </c>
      <c r="N51" s="6">
        <v>4.5624268878038441</v>
      </c>
      <c r="O51" s="2">
        <v>1800.6851448254829</v>
      </c>
      <c r="P51" s="2">
        <v>240.71209995201619</v>
      </c>
      <c r="Q51" s="2">
        <v>149990.75951867251</v>
      </c>
      <c r="R51" s="3">
        <v>9.947213982631696E-2</v>
      </c>
      <c r="S51" s="2">
        <v>1098.2313570408051</v>
      </c>
      <c r="T51" s="7">
        <v>1344.7339381446859</v>
      </c>
      <c r="U51" t="s">
        <v>55</v>
      </c>
      <c r="V51" s="5">
        <v>4.3687404084174517</v>
      </c>
      <c r="W51">
        <f t="shared" si="4"/>
        <v>1643.8619586538025</v>
      </c>
      <c r="X51">
        <f t="shared" si="5"/>
        <v>0.81803337017782218</v>
      </c>
      <c r="Y51">
        <f t="shared" si="2"/>
        <v>1.2766406185131876</v>
      </c>
      <c r="Z51">
        <f t="shared" si="3"/>
        <v>1.0000000000834013</v>
      </c>
    </row>
    <row r="52" spans="1:26" x14ac:dyDescent="0.25">
      <c r="A52" t="s">
        <v>39</v>
      </c>
      <c r="B52" s="9">
        <v>45854</v>
      </c>
      <c r="C52" s="2">
        <v>625.36590576171875</v>
      </c>
      <c r="D52" s="3">
        <v>8.99640143942423E-2</v>
      </c>
      <c r="E52" s="4">
        <v>0.71648775920198815</v>
      </c>
      <c r="F52" s="5">
        <v>7.1648775920198811E-3</v>
      </c>
      <c r="G52" s="4">
        <v>11.37389056962235</v>
      </c>
      <c r="H52" s="5">
        <v>0.1137389056962235</v>
      </c>
      <c r="I52" s="3">
        <v>0.12</v>
      </c>
      <c r="J52" s="2">
        <v>11340.015607123411</v>
      </c>
      <c r="K52" s="2">
        <v>1512002.080949788</v>
      </c>
      <c r="L52" s="6">
        <v>15.05180332462151</v>
      </c>
      <c r="M52" s="7">
        <v>1.4858059649545661</v>
      </c>
      <c r="N52" s="6">
        <v>4.4806701650053551</v>
      </c>
      <c r="O52" s="2">
        <v>2024.067076089756</v>
      </c>
      <c r="P52" s="2">
        <v>270.55516207396249</v>
      </c>
      <c r="Q52" s="2">
        <v>169195.97398889219</v>
      </c>
      <c r="R52" s="3">
        <v>0.1119019451895258</v>
      </c>
      <c r="S52" s="2">
        <v>1212.268442692992</v>
      </c>
      <c r="T52" s="7">
        <v>1344.7339381446859</v>
      </c>
      <c r="U52" t="s">
        <v>55</v>
      </c>
      <c r="V52" s="5">
        <v>4.2749956716384361</v>
      </c>
      <c r="W52">
        <f t="shared" si="4"/>
        <v>1673.8567499513852</v>
      </c>
      <c r="X52">
        <f t="shared" si="5"/>
        <v>0.80337456486867342</v>
      </c>
      <c r="Y52">
        <f t="shared" si="2"/>
        <v>1.3046355798971019</v>
      </c>
      <c r="Z52">
        <f t="shared" si="3"/>
        <v>1.0000000000820781</v>
      </c>
    </row>
    <row r="53" spans="1:26" x14ac:dyDescent="0.25">
      <c r="A53" t="s">
        <v>39</v>
      </c>
      <c r="B53" s="9">
        <v>45855</v>
      </c>
      <c r="C53" s="2">
        <v>629.0347900390625</v>
      </c>
      <c r="D53" s="3">
        <v>8.99640143942423E-2</v>
      </c>
      <c r="E53" s="4">
        <v>0.70547321449374678</v>
      </c>
      <c r="F53" s="5">
        <v>7.0547321449374676E-3</v>
      </c>
      <c r="G53" s="4">
        <v>11.19904009300669</v>
      </c>
      <c r="H53" s="5">
        <v>0.1119904009300669</v>
      </c>
      <c r="I53" s="3">
        <v>0.12</v>
      </c>
      <c r="J53" s="2">
        <v>11361.607679151481</v>
      </c>
      <c r="K53" s="2">
        <v>1514881.0238868641</v>
      </c>
      <c r="L53" s="6">
        <v>17.88198881667147</v>
      </c>
      <c r="M53" s="7">
        <v>1.485707594648799</v>
      </c>
      <c r="N53" s="6">
        <v>4.4376719535725648</v>
      </c>
      <c r="O53" s="2">
        <v>2404.6517243301869</v>
      </c>
      <c r="P53" s="2">
        <v>321.40627710222913</v>
      </c>
      <c r="Q53" s="2">
        <v>202175.73003423741</v>
      </c>
      <c r="R53" s="3">
        <v>0.1334598076326135</v>
      </c>
      <c r="S53" s="2">
        <v>1426.295621598734</v>
      </c>
      <c r="T53" s="7">
        <v>1344.7339381446859</v>
      </c>
      <c r="U53" t="s">
        <v>55</v>
      </c>
      <c r="V53" s="5">
        <v>4.2092762921402507</v>
      </c>
      <c r="W53">
        <f t="shared" si="4"/>
        <v>1690.0753544799759</v>
      </c>
      <c r="X53">
        <f t="shared" si="5"/>
        <v>0.79566507764291428</v>
      </c>
      <c r="Y53">
        <f t="shared" si="2"/>
        <v>1.3250048393211482</v>
      </c>
      <c r="Z53">
        <f t="shared" si="3"/>
        <v>1.0000000000807745</v>
      </c>
    </row>
    <row r="54" spans="1:26" x14ac:dyDescent="0.25">
      <c r="A54" t="s">
        <v>39</v>
      </c>
      <c r="B54" s="9">
        <v>45856</v>
      </c>
      <c r="C54" s="2">
        <v>628.77557373046875</v>
      </c>
      <c r="D54" s="3">
        <v>8.99640143942423E-2</v>
      </c>
      <c r="E54" s="4">
        <v>0.692405210572136</v>
      </c>
      <c r="F54" s="5">
        <v>6.9240521057213596E-3</v>
      </c>
      <c r="G54" s="4">
        <v>10.9915919619551</v>
      </c>
      <c r="H54" s="5">
        <v>0.10991591961955099</v>
      </c>
      <c r="I54" s="3">
        <v>0.12</v>
      </c>
      <c r="J54" s="2">
        <v>11369.757196167029</v>
      </c>
      <c r="K54" s="2">
        <v>1515967.6261556039</v>
      </c>
      <c r="L54" s="6">
        <v>18.652761341080449</v>
      </c>
      <c r="M54" s="7">
        <v>1.4856107857764571</v>
      </c>
      <c r="N54" s="6">
        <v>4.3536748353146084</v>
      </c>
      <c r="O54" s="2">
        <v>2508.3001215464078</v>
      </c>
      <c r="P54" s="2">
        <v>335.23809904176028</v>
      </c>
      <c r="Q54" s="2">
        <v>210789.52806129449</v>
      </c>
      <c r="R54" s="3">
        <v>0.1390461936155214</v>
      </c>
      <c r="S54" s="2">
        <v>1459.517675636818</v>
      </c>
      <c r="T54" s="7">
        <v>1344.7339381446859</v>
      </c>
      <c r="U54" t="s">
        <v>55</v>
      </c>
      <c r="V54" s="5">
        <v>4.1313047434510413</v>
      </c>
      <c r="W54">
        <f t="shared" si="4"/>
        <v>1722.6826264479234</v>
      </c>
      <c r="X54">
        <f t="shared" si="5"/>
        <v>0.78060457422587071</v>
      </c>
      <c r="Y54">
        <f t="shared" si="2"/>
        <v>1.3500121156559037</v>
      </c>
      <c r="Z54">
        <f t="shared" si="3"/>
        <v>1.0000000000794926</v>
      </c>
    </row>
    <row r="55" spans="1:26" x14ac:dyDescent="0.25">
      <c r="A55" t="s">
        <v>39</v>
      </c>
      <c r="B55" s="9">
        <v>45859</v>
      </c>
      <c r="C55" s="2">
        <v>629.8323974609375</v>
      </c>
      <c r="D55" s="3">
        <v>8.99640143942423E-2</v>
      </c>
      <c r="E55" s="4">
        <v>0.67741723790624764</v>
      </c>
      <c r="F55" s="5">
        <v>6.774172379062476E-3</v>
      </c>
      <c r="G55" s="4">
        <v>10.75366527196925</v>
      </c>
      <c r="H55" s="5">
        <v>0.1075366527196925</v>
      </c>
      <c r="I55" s="3">
        <v>0.12</v>
      </c>
      <c r="J55" s="2">
        <v>11398.782182031389</v>
      </c>
      <c r="K55" s="2">
        <v>1519837.624270852</v>
      </c>
      <c r="L55" s="6">
        <v>19.27237777788244</v>
      </c>
      <c r="M55" s="7">
        <v>1.4855155135528819</v>
      </c>
      <c r="N55" s="6">
        <v>4.2665932303185823</v>
      </c>
      <c r="O55" s="2">
        <v>2591.6220466663999</v>
      </c>
      <c r="P55" s="2">
        <v>346.35198718099599</v>
      </c>
      <c r="Q55" s="2">
        <v>218143.70245156661</v>
      </c>
      <c r="R55" s="3">
        <v>0.14353092657264749</v>
      </c>
      <c r="S55" s="2">
        <v>1477.743043813826</v>
      </c>
      <c r="T55" s="7">
        <v>1344.7339381446859</v>
      </c>
      <c r="U55" t="s">
        <v>55</v>
      </c>
      <c r="V55" s="5">
        <v>4.0418775097678434</v>
      </c>
      <c r="W55">
        <f t="shared" si="4"/>
        <v>1757.842755363858</v>
      </c>
      <c r="X55">
        <f t="shared" si="5"/>
        <v>0.76499102894236848</v>
      </c>
      <c r="Y55">
        <f t="shared" si="2"/>
        <v>1.3798813654414679</v>
      </c>
      <c r="Z55">
        <f t="shared" si="3"/>
        <v>1.0000000000782305</v>
      </c>
    </row>
    <row r="56" spans="1:26" x14ac:dyDescent="0.25">
      <c r="A56" t="s">
        <v>39</v>
      </c>
      <c r="B56" s="9">
        <v>45860</v>
      </c>
      <c r="C56" s="2">
        <v>629.8424072265625</v>
      </c>
      <c r="D56" s="3">
        <v>8.99640143942423E-2</v>
      </c>
      <c r="E56" s="4">
        <v>0.66447276314900594</v>
      </c>
      <c r="F56" s="5">
        <v>6.6447276314900586E-3</v>
      </c>
      <c r="G56" s="4">
        <v>10.548178105609161</v>
      </c>
      <c r="H56" s="5">
        <v>0.1054817810560916</v>
      </c>
      <c r="I56" s="3">
        <v>0.12</v>
      </c>
      <c r="J56" s="2">
        <v>11433.146152697111</v>
      </c>
      <c r="K56" s="2">
        <v>1524419.487026281</v>
      </c>
      <c r="L56" s="6">
        <v>19.483983118141321</v>
      </c>
      <c r="M56" s="7">
        <v>1.4854217535868239</v>
      </c>
      <c r="N56" s="6">
        <v>4.1851312467825554</v>
      </c>
      <c r="O56" s="2">
        <v>2620.0773349202759</v>
      </c>
      <c r="P56" s="2">
        <v>350.13273512231711</v>
      </c>
      <c r="Q56" s="2">
        <v>220528.44473826059</v>
      </c>
      <c r="R56" s="3">
        <v>0.14466388459022539</v>
      </c>
      <c r="S56" s="2">
        <v>1465.3514502818491</v>
      </c>
      <c r="T56" s="7">
        <v>1344.7339381446859</v>
      </c>
      <c r="U56" t="s">
        <v>55</v>
      </c>
      <c r="V56" s="5">
        <v>3.9646430101575838</v>
      </c>
      <c r="W56">
        <f t="shared" si="4"/>
        <v>1792.0584941669038</v>
      </c>
      <c r="X56">
        <f t="shared" si="5"/>
        <v>0.75038506975177111</v>
      </c>
      <c r="Y56">
        <f t="shared" si="2"/>
        <v>1.406762586905379</v>
      </c>
      <c r="Z56">
        <f t="shared" si="3"/>
        <v>1.0000000000769889</v>
      </c>
    </row>
    <row r="57" spans="1:26" x14ac:dyDescent="0.25">
      <c r="A57" t="s">
        <v>39</v>
      </c>
      <c r="B57" s="9">
        <v>45861</v>
      </c>
      <c r="C57" s="2">
        <v>635.4156494140625</v>
      </c>
      <c r="D57" s="3">
        <v>8.99640143942423E-2</v>
      </c>
      <c r="E57" s="4">
        <v>0.66813101161389221</v>
      </c>
      <c r="F57" s="5">
        <v>6.6813101161389216E-3</v>
      </c>
      <c r="G57" s="4">
        <v>10.606250999642199</v>
      </c>
      <c r="H57" s="5">
        <v>0.106062509996422</v>
      </c>
      <c r="I57" s="3">
        <v>0.12</v>
      </c>
      <c r="J57" s="2">
        <v>11467.47150991014</v>
      </c>
      <c r="K57" s="2">
        <v>1528996.201321352</v>
      </c>
      <c r="L57" s="6">
        <v>19.839457418115661</v>
      </c>
      <c r="M57" s="7">
        <v>1.485329481874196</v>
      </c>
      <c r="N57" s="6">
        <v>4.2454090063831584</v>
      </c>
      <c r="O57" s="2">
        <v>2667.879170451648</v>
      </c>
      <c r="P57" s="2">
        <v>356.49856328315673</v>
      </c>
      <c r="Q57" s="2">
        <v>226524.7661037473</v>
      </c>
      <c r="R57" s="3">
        <v>0.14815260228114729</v>
      </c>
      <c r="S57" s="2">
        <v>1513.48221132497</v>
      </c>
      <c r="T57" s="7">
        <v>1344.7339381446859</v>
      </c>
      <c r="U57" t="s">
        <v>55</v>
      </c>
      <c r="V57" s="5">
        <v>3.9864703144657341</v>
      </c>
      <c r="W57">
        <f t="shared" si="4"/>
        <v>1766.6142387514187</v>
      </c>
      <c r="X57">
        <f t="shared" si="5"/>
        <v>0.76119274295847228</v>
      </c>
      <c r="Y57">
        <f t="shared" si="2"/>
        <v>1.3990600749959634</v>
      </c>
      <c r="Z57">
        <f t="shared" si="3"/>
        <v>1.0000000000757665</v>
      </c>
    </row>
    <row r="58" spans="1:26" x14ac:dyDescent="0.25">
      <c r="A58" t="s">
        <v>39</v>
      </c>
      <c r="B58" s="9">
        <v>45862</v>
      </c>
      <c r="C58" s="2">
        <v>635.66485595703125</v>
      </c>
      <c r="D58" s="3">
        <v>8.99640143942423E-2</v>
      </c>
      <c r="E58" s="4">
        <v>0.65553570820228202</v>
      </c>
      <c r="F58" s="5">
        <v>6.5553570820228203E-3</v>
      </c>
      <c r="G58" s="4">
        <v>10.406306756555059</v>
      </c>
      <c r="H58" s="5">
        <v>0.1040630675655506</v>
      </c>
      <c r="I58" s="3">
        <v>0.12</v>
      </c>
      <c r="J58" s="2">
        <v>11419.211493711009</v>
      </c>
      <c r="K58" s="2">
        <v>1522561.5324948011</v>
      </c>
      <c r="L58" s="6">
        <v>20</v>
      </c>
      <c r="M58" s="7">
        <v>1.4852386747919279</v>
      </c>
      <c r="N58" s="6">
        <v>4.1670101152909407</v>
      </c>
      <c r="O58" s="2">
        <v>2689.4678762893732</v>
      </c>
      <c r="P58" s="2">
        <v>359.36140881246263</v>
      </c>
      <c r="Q58" s="2">
        <v>228433.41816928989</v>
      </c>
      <c r="R58" s="3">
        <v>0.1500323062772965</v>
      </c>
      <c r="S58" s="2">
        <v>1497.4626255667349</v>
      </c>
      <c r="T58" s="7">
        <v>1344.7339381446859</v>
      </c>
      <c r="U58" t="s">
        <v>55</v>
      </c>
      <c r="V58" s="5">
        <v>3.9113191805125491</v>
      </c>
      <c r="W58">
        <f t="shared" si="4"/>
        <v>1799.8516424230829</v>
      </c>
      <c r="X58">
        <f t="shared" si="5"/>
        <v>0.7471359896831905</v>
      </c>
      <c r="Y58">
        <f t="shared" si="2"/>
        <v>1.4259412744716851</v>
      </c>
      <c r="Z58">
        <f t="shared" si="3"/>
        <v>1.0000000000745644</v>
      </c>
    </row>
    <row r="59" spans="1:26" x14ac:dyDescent="0.25">
      <c r="A59" t="s">
        <v>39</v>
      </c>
      <c r="B59" s="9">
        <v>45863</v>
      </c>
      <c r="C59" s="2">
        <v>638.13739013671875</v>
      </c>
      <c r="D59" s="3">
        <v>8.99640143942423E-2</v>
      </c>
      <c r="E59" s="4">
        <v>0.64304805361887263</v>
      </c>
      <c r="F59" s="5">
        <v>6.4304805361887259E-3</v>
      </c>
      <c r="G59" s="4">
        <v>10.208071385637989</v>
      </c>
      <c r="H59" s="5">
        <v>0.1020807138563799</v>
      </c>
      <c r="I59" s="3">
        <v>0.12</v>
      </c>
      <c r="J59" s="2">
        <v>11405.41956561927</v>
      </c>
      <c r="K59" s="2">
        <v>1520722.608749236</v>
      </c>
      <c r="L59" s="6">
        <v>20</v>
      </c>
      <c r="M59" s="7">
        <v>1.485149309091917</v>
      </c>
      <c r="N59" s="6">
        <v>4.1035300666884416</v>
      </c>
      <c r="O59" s="2">
        <v>2689.4678762893732</v>
      </c>
      <c r="P59" s="2">
        <v>359.33978630574438</v>
      </c>
      <c r="Q59" s="2">
        <v>229308.15340543399</v>
      </c>
      <c r="R59" s="3">
        <v>0.15078894210301461</v>
      </c>
      <c r="S59" s="2">
        <v>1474.5616172630221</v>
      </c>
      <c r="T59" s="7">
        <v>1344.7339381446859</v>
      </c>
      <c r="U59" t="s">
        <v>55</v>
      </c>
      <c r="V59" s="5">
        <v>3.8368103440287959</v>
      </c>
      <c r="W59">
        <f t="shared" si="4"/>
        <v>1827.6946624281757</v>
      </c>
      <c r="X59">
        <f t="shared" si="5"/>
        <v>0.73575415291640978</v>
      </c>
      <c r="Y59">
        <f t="shared" si="2"/>
        <v>1.4536323031461658</v>
      </c>
      <c r="Z59">
        <f t="shared" si="3"/>
        <v>1.0000000000733809</v>
      </c>
    </row>
    <row r="60" spans="1:26" x14ac:dyDescent="0.25">
      <c r="A60" t="s">
        <v>39</v>
      </c>
      <c r="B60" s="9">
        <v>45866</v>
      </c>
      <c r="C60" s="2">
        <v>637.997802734375</v>
      </c>
      <c r="D60" s="3">
        <v>8.99640143942423E-2</v>
      </c>
      <c r="E60" s="4">
        <v>0.63248246957493037</v>
      </c>
      <c r="F60" s="5">
        <v>6.3248246957493034E-3</v>
      </c>
      <c r="G60" s="4">
        <v>10.040347938619449</v>
      </c>
      <c r="H60" s="5">
        <v>0.1004034793861945</v>
      </c>
      <c r="I60" s="3">
        <v>0.12</v>
      </c>
      <c r="J60" s="2">
        <v>11294.56372885231</v>
      </c>
      <c r="K60" s="2">
        <v>1505941.830513641</v>
      </c>
      <c r="L60" s="6">
        <v>20</v>
      </c>
      <c r="M60" s="7">
        <v>1.485061361895081</v>
      </c>
      <c r="N60" s="6">
        <v>4.0352242585681672</v>
      </c>
      <c r="O60" s="2">
        <v>2689.4678762893732</v>
      </c>
      <c r="P60" s="2">
        <v>359.31850701341858</v>
      </c>
      <c r="Q60" s="2">
        <v>229244.41795635721</v>
      </c>
      <c r="R60" s="3">
        <v>0.1522266088313434</v>
      </c>
      <c r="S60" s="2">
        <v>1449.9307560530431</v>
      </c>
      <c r="T60" s="7">
        <v>1344.7339381446859</v>
      </c>
      <c r="U60" t="s">
        <v>55</v>
      </c>
      <c r="V60" s="5">
        <v>3.7737697331096469</v>
      </c>
      <c r="W60">
        <f t="shared" si="4"/>
        <v>1858.6327597716345</v>
      </c>
      <c r="X60">
        <f t="shared" si="5"/>
        <v>0.72350706780284557</v>
      </c>
      <c r="Y60">
        <f t="shared" si="2"/>
        <v>1.4779151489271756</v>
      </c>
      <c r="Z60">
        <f t="shared" si="3"/>
        <v>1.000000000072216</v>
      </c>
    </row>
    <row r="61" spans="1:26" x14ac:dyDescent="0.25">
      <c r="A61" t="s">
        <v>39</v>
      </c>
      <c r="B61" s="9">
        <v>45867</v>
      </c>
      <c r="C61" s="2">
        <v>636.482421875</v>
      </c>
      <c r="D61" s="3">
        <v>8.99640143942423E-2</v>
      </c>
      <c r="E61" s="4">
        <v>0.62804433478774024</v>
      </c>
      <c r="F61" s="5">
        <v>6.2804433478774024E-3</v>
      </c>
      <c r="G61" s="4">
        <v>9.9698947330281147</v>
      </c>
      <c r="H61" s="5">
        <v>9.9698947330281146E-2</v>
      </c>
      <c r="I61" s="3">
        <v>0.12</v>
      </c>
      <c r="J61" s="2">
        <v>11315.930791311879</v>
      </c>
      <c r="K61" s="2">
        <v>1508790.7721749169</v>
      </c>
      <c r="L61" s="6">
        <v>19.14895688751222</v>
      </c>
      <c r="M61" s="7">
        <v>1.4849748106854961</v>
      </c>
      <c r="N61" s="6">
        <v>3.9973917925057418</v>
      </c>
      <c r="O61" s="2">
        <v>2575.0252206707119</v>
      </c>
      <c r="P61" s="2">
        <v>344.0086795655435</v>
      </c>
      <c r="Q61" s="2">
        <v>218955.47751589789</v>
      </c>
      <c r="R61" s="3">
        <v>0.14511984136824641</v>
      </c>
      <c r="S61" s="2">
        <v>1375.1374722460409</v>
      </c>
      <c r="T61" s="7">
        <v>1344.7339381446859</v>
      </c>
      <c r="U61" t="s">
        <v>55</v>
      </c>
      <c r="V61" s="5">
        <v>3.7472891592802808</v>
      </c>
      <c r="W61">
        <f t="shared" si="4"/>
        <v>1876.223394979922</v>
      </c>
      <c r="X61">
        <f t="shared" si="5"/>
        <v>0.71672378765913225</v>
      </c>
      <c r="Y61">
        <f t="shared" si="2"/>
        <v>1.4883589763317897</v>
      </c>
      <c r="Z61">
        <f t="shared" si="3"/>
        <v>1.0000000000710696</v>
      </c>
    </row>
    <row r="62" spans="1:26" x14ac:dyDescent="0.25">
      <c r="A62" t="s">
        <v>39</v>
      </c>
      <c r="B62" s="9">
        <v>45868</v>
      </c>
      <c r="C62" s="2">
        <v>635.5950927734375</v>
      </c>
      <c r="D62" s="3">
        <v>8.99640143942423E-2</v>
      </c>
      <c r="E62" s="4">
        <v>0.61988172198876457</v>
      </c>
      <c r="F62" s="5">
        <v>6.198817219887646E-3</v>
      </c>
      <c r="G62" s="4">
        <v>9.8403172719404992</v>
      </c>
      <c r="H62" s="5">
        <v>9.8403172719404991E-2</v>
      </c>
      <c r="I62" s="3">
        <v>0.12</v>
      </c>
      <c r="J62" s="2">
        <v>11251.16646492065</v>
      </c>
      <c r="K62" s="2">
        <v>1500155.5286560869</v>
      </c>
      <c r="L62" s="6">
        <v>17.599704363819651</v>
      </c>
      <c r="M62" s="7">
        <v>1.4848896333046351</v>
      </c>
      <c r="N62" s="6">
        <v>3.9399378059600698</v>
      </c>
      <c r="O62" s="2">
        <v>2366.6919759341431</v>
      </c>
      <c r="P62" s="2">
        <v>316.15841083963107</v>
      </c>
      <c r="Q62" s="2">
        <v>200948.73446871791</v>
      </c>
      <c r="R62" s="3">
        <v>0.13395193406962119</v>
      </c>
      <c r="S62" s="2">
        <v>1245.644475539319</v>
      </c>
      <c r="T62" s="7">
        <v>1344.733938144687</v>
      </c>
      <c r="U62" t="s">
        <v>55</v>
      </c>
      <c r="V62" s="5">
        <v>3.6985861159460209</v>
      </c>
      <c r="W62">
        <f t="shared" si="4"/>
        <v>1903.5833481062848</v>
      </c>
      <c r="X62">
        <f t="shared" si="5"/>
        <v>0.70642241091384306</v>
      </c>
      <c r="Y62">
        <f t="shared" si="2"/>
        <v>1.5079577120239764</v>
      </c>
      <c r="Z62">
        <f t="shared" si="3"/>
        <v>1.0000000000699418</v>
      </c>
    </row>
    <row r="63" spans="1:26" x14ac:dyDescent="0.25">
      <c r="A63" t="s">
        <v>39</v>
      </c>
      <c r="B63" s="9">
        <v>45869</v>
      </c>
      <c r="C63" s="2">
        <v>632.992919921875</v>
      </c>
      <c r="D63" s="3">
        <v>8.99640143942423E-2</v>
      </c>
      <c r="E63" s="4">
        <v>0.62126224442775346</v>
      </c>
      <c r="F63" s="5">
        <v>6.212622444277535E-3</v>
      </c>
      <c r="G63" s="4">
        <v>9.8622323862579542</v>
      </c>
      <c r="H63" s="5">
        <v>9.8622323862579547E-2</v>
      </c>
      <c r="I63" s="3">
        <v>0.12</v>
      </c>
      <c r="J63" s="2">
        <v>11224.82322200907</v>
      </c>
      <c r="K63" s="2">
        <v>1496643.096267876</v>
      </c>
      <c r="L63" s="6">
        <v>14.70176108756935</v>
      </c>
      <c r="M63" s="7">
        <v>1.4848058079456929</v>
      </c>
      <c r="N63" s="6">
        <v>3.9325460213754129</v>
      </c>
      <c r="O63" s="2">
        <v>1976.995708494944</v>
      </c>
      <c r="P63" s="2">
        <v>264.0852897890299</v>
      </c>
      <c r="Q63" s="2">
        <v>167164.11869197249</v>
      </c>
      <c r="R63" s="3">
        <v>0.11169270690442069</v>
      </c>
      <c r="S63" s="2">
        <v>1038.527555663622</v>
      </c>
      <c r="T63" s="7">
        <v>1344.7339381446859</v>
      </c>
      <c r="U63" t="s">
        <v>55</v>
      </c>
      <c r="V63" s="5">
        <v>3.7068231407597461</v>
      </c>
      <c r="W63">
        <f t="shared" si="4"/>
        <v>1907.1614061815519</v>
      </c>
      <c r="X63">
        <f t="shared" si="5"/>
        <v>0.70509707976791669</v>
      </c>
      <c r="Y63">
        <f t="shared" si="2"/>
        <v>1.5046068413133118</v>
      </c>
      <c r="Z63">
        <f t="shared" si="3"/>
        <v>1.0000000000688316</v>
      </c>
    </row>
    <row r="64" spans="1:26" x14ac:dyDescent="0.25">
      <c r="A64" t="s">
        <v>39</v>
      </c>
      <c r="B64" s="9">
        <v>45870</v>
      </c>
      <c r="C64" s="2">
        <v>622.77374267578125</v>
      </c>
      <c r="D64" s="3">
        <v>8.99640143942423E-2</v>
      </c>
      <c r="E64" s="4">
        <v>0.71838741104450632</v>
      </c>
      <c r="F64" s="5">
        <v>7.1838741104450644E-3</v>
      </c>
      <c r="G64" s="4">
        <v>11.404046607739801</v>
      </c>
      <c r="H64" s="5">
        <v>0.114040466077398</v>
      </c>
      <c r="I64" s="3">
        <v>0.12</v>
      </c>
      <c r="J64" s="2">
        <v>11202.17468896721</v>
      </c>
      <c r="K64" s="2">
        <v>1493623.291862295</v>
      </c>
      <c r="L64" s="6">
        <v>8.6088799977050883</v>
      </c>
      <c r="M64" s="7">
        <v>1.4847233131480031</v>
      </c>
      <c r="N64" s="6">
        <v>4.4739281666735211</v>
      </c>
      <c r="O64" s="2">
        <v>1157.665310232898</v>
      </c>
      <c r="P64" s="2">
        <v>154.6312882175292</v>
      </c>
      <c r="Q64" s="2">
        <v>96300.306098008077</v>
      </c>
      <c r="R64" s="3">
        <v>6.4474293232223187E-2</v>
      </c>
      <c r="S64" s="2">
        <v>691.80927580541515</v>
      </c>
      <c r="T64" s="7">
        <v>1344.7339381446859</v>
      </c>
      <c r="U64" t="s">
        <v>55</v>
      </c>
      <c r="V64" s="5">
        <v>4.2863301338118447</v>
      </c>
      <c r="W64">
        <f t="shared" si="4"/>
        <v>1676.3791729755108</v>
      </c>
      <c r="X64">
        <f t="shared" si="5"/>
        <v>0.80216573900630916</v>
      </c>
      <c r="Y64">
        <f t="shared" si="2"/>
        <v>1.3011856956910814</v>
      </c>
      <c r="Z64">
        <f t="shared" si="3"/>
        <v>1.0000000000677385</v>
      </c>
    </row>
    <row r="65" spans="1:26" x14ac:dyDescent="0.25">
      <c r="A65" t="s">
        <v>39</v>
      </c>
      <c r="B65" s="9">
        <v>45873</v>
      </c>
      <c r="C65" s="2">
        <v>632.26507568359375</v>
      </c>
      <c r="D65" s="3">
        <v>8.99640143942423E-2</v>
      </c>
      <c r="E65" s="4">
        <v>0.7692172769278306</v>
      </c>
      <c r="F65" s="5">
        <v>7.6921727692783057E-3</v>
      </c>
      <c r="G65" s="4">
        <v>12.21094571355205</v>
      </c>
      <c r="H65" s="5">
        <v>0.1221094571355205</v>
      </c>
      <c r="I65" s="3">
        <v>0.12</v>
      </c>
      <c r="J65" s="2">
        <v>11261.122674604539</v>
      </c>
      <c r="K65" s="2">
        <v>1501483.023280605</v>
      </c>
      <c r="L65" s="6">
        <v>11.48592784033645</v>
      </c>
      <c r="M65" s="7">
        <v>1.484642127791546</v>
      </c>
      <c r="N65" s="6">
        <v>4.8634921981390269</v>
      </c>
      <c r="O65" s="2">
        <v>1544.5516977981331</v>
      </c>
      <c r="P65" s="2">
        <v>206.29706787836651</v>
      </c>
      <c r="Q65" s="2">
        <v>130434.4312354189</v>
      </c>
      <c r="R65" s="3">
        <v>8.6870400272945777E-2</v>
      </c>
      <c r="S65" s="2">
        <v>1003.324180125393</v>
      </c>
      <c r="T65" s="7">
        <v>1344.7339381446859</v>
      </c>
      <c r="U65" t="s">
        <v>55</v>
      </c>
      <c r="V65" s="5">
        <v>4.5896115979406886</v>
      </c>
      <c r="W65">
        <f t="shared" si="4"/>
        <v>1542.1017849827763</v>
      </c>
      <c r="X65">
        <f t="shared" si="5"/>
        <v>0.87201373556525985</v>
      </c>
      <c r="Y65">
        <f t="shared" si="2"/>
        <v>1.2152033648398686</v>
      </c>
      <c r="Z65">
        <f t="shared" si="3"/>
        <v>1.0000000000666629</v>
      </c>
    </row>
    <row r="66" spans="1:26" x14ac:dyDescent="0.25">
      <c r="A66" t="s">
        <v>39</v>
      </c>
      <c r="B66" s="9">
        <v>45874</v>
      </c>
      <c r="C66" s="2">
        <v>629.2242431640625</v>
      </c>
      <c r="D66" s="3">
        <v>8.99640143942423E-2</v>
      </c>
      <c r="E66" s="4">
        <v>0.76319560433633493</v>
      </c>
      <c r="F66" s="5">
        <v>7.631956043363349E-3</v>
      </c>
      <c r="G66" s="4">
        <v>12.115354624629539</v>
      </c>
      <c r="H66" s="5">
        <v>0.1211535462462954</v>
      </c>
      <c r="I66" s="3">
        <v>0.12</v>
      </c>
      <c r="J66" s="2">
        <v>11258.90633716401</v>
      </c>
      <c r="K66" s="2">
        <v>1501187.5116218689</v>
      </c>
      <c r="L66" s="6">
        <v>10.65880158685477</v>
      </c>
      <c r="M66" s="7">
        <v>1.4845622310915421</v>
      </c>
      <c r="N66" s="6">
        <v>4.802211765246696</v>
      </c>
      <c r="O66" s="2">
        <v>1433.3252233794051</v>
      </c>
      <c r="P66" s="2">
        <v>191.43087187367871</v>
      </c>
      <c r="Q66" s="2">
        <v>120452.94547295209</v>
      </c>
      <c r="R66" s="3">
        <v>8.0238440927886415E-2</v>
      </c>
      <c r="S66" s="2">
        <v>919.29158514321284</v>
      </c>
      <c r="T66" s="7">
        <v>1344.7339381446859</v>
      </c>
      <c r="U66" t="s">
        <v>55</v>
      </c>
      <c r="V66" s="5">
        <v>4.5536826878734189</v>
      </c>
      <c r="W66">
        <f t="shared" si="4"/>
        <v>1561.7803559345357</v>
      </c>
      <c r="X66">
        <f t="shared" si="5"/>
        <v>0.86102628518465785</v>
      </c>
      <c r="Y66">
        <f t="shared" si="2"/>
        <v>1.2247914137667395</v>
      </c>
      <c r="Z66">
        <f t="shared" si="3"/>
        <v>1.0000000000656049</v>
      </c>
    </row>
    <row r="67" spans="1:26" x14ac:dyDescent="0.25">
      <c r="A67" t="s">
        <v>39</v>
      </c>
      <c r="B67" s="9">
        <v>45875</v>
      </c>
      <c r="C67" s="2">
        <v>633.88018798828125</v>
      </c>
      <c r="D67" s="3">
        <v>8.99640143942423E-2</v>
      </c>
      <c r="E67" s="4">
        <v>0.75943070902919363</v>
      </c>
      <c r="F67" s="5">
        <v>7.594307090291936E-3</v>
      </c>
      <c r="G67" s="4">
        <v>12.0555887644602</v>
      </c>
      <c r="H67" s="5">
        <v>0.120555887644602</v>
      </c>
      <c r="I67" s="3">
        <v>0.12</v>
      </c>
      <c r="J67" s="2">
        <v>11279.81019078586</v>
      </c>
      <c r="K67" s="2">
        <v>1503974.692104781</v>
      </c>
      <c r="L67" s="6">
        <v>12.97541366638567</v>
      </c>
      <c r="M67" s="7">
        <v>1.484483602593125</v>
      </c>
      <c r="N67" s="6">
        <v>4.81388080603499</v>
      </c>
      <c r="O67" s="2">
        <v>1744.8479118655191</v>
      </c>
      <c r="P67" s="2">
        <v>233.02462041327311</v>
      </c>
      <c r="Q67" s="2">
        <v>147709.6901934635</v>
      </c>
      <c r="R67" s="3">
        <v>9.8212882815698732E-2</v>
      </c>
      <c r="S67" s="2">
        <v>1121.752747541045</v>
      </c>
      <c r="T67" s="7">
        <v>1344.7339381446859</v>
      </c>
      <c r="U67" t="s">
        <v>55</v>
      </c>
      <c r="V67" s="5">
        <v>4.53121906454491</v>
      </c>
      <c r="W67">
        <f t="shared" si="4"/>
        <v>1557.9945375044431</v>
      </c>
      <c r="X67">
        <f t="shared" si="5"/>
        <v>0.86311851920780625</v>
      </c>
      <c r="Y67">
        <f t="shared" ref="Y67:Y101" si="6">(1000000*I67/16)/(V67)/T67</f>
        <v>1.2308633455323275</v>
      </c>
      <c r="Z67">
        <f t="shared" ref="Z67:Z101" si="7">T67*L67/10*M67*D67/P67</f>
        <v>1.0000000000645639</v>
      </c>
    </row>
    <row r="68" spans="1:26" x14ac:dyDescent="0.25">
      <c r="A68" t="s">
        <v>39</v>
      </c>
      <c r="B68" s="9">
        <v>45876</v>
      </c>
      <c r="C68" s="2">
        <v>633.53131103515625</v>
      </c>
      <c r="D68" s="3">
        <v>8.99640143942423E-2</v>
      </c>
      <c r="E68" s="4">
        <v>0.74424253447776578</v>
      </c>
      <c r="F68" s="5">
        <v>7.4424253447776577E-3</v>
      </c>
      <c r="G68" s="4">
        <v>11.814483968067499</v>
      </c>
      <c r="H68" s="5">
        <v>0.118144839680675</v>
      </c>
      <c r="I68" s="3">
        <v>0.12</v>
      </c>
      <c r="J68" s="2">
        <v>11295.23294384669</v>
      </c>
      <c r="K68" s="2">
        <v>1506031.059179558</v>
      </c>
      <c r="L68" s="6">
        <v>13.68683126424493</v>
      </c>
      <c r="M68" s="7">
        <v>1.484406222166111</v>
      </c>
      <c r="N68" s="6">
        <v>4.7150094859582641</v>
      </c>
      <c r="O68" s="2">
        <v>1840.514650668991</v>
      </c>
      <c r="P68" s="2">
        <v>245.7881106897849</v>
      </c>
      <c r="Q68" s="2">
        <v>155714.46400215349</v>
      </c>
      <c r="R68" s="3">
        <v>0.10339392607678501</v>
      </c>
      <c r="S68" s="2">
        <v>1158.893273438096</v>
      </c>
      <c r="T68" s="7">
        <v>1344.733938144687</v>
      </c>
      <c r="U68" t="s">
        <v>55</v>
      </c>
      <c r="V68" s="5">
        <v>4.4405973063452162</v>
      </c>
      <c r="W68">
        <f t="shared" si="4"/>
        <v>1590.6648803858607</v>
      </c>
      <c r="X68">
        <f t="shared" si="5"/>
        <v>0.84539110325896172</v>
      </c>
      <c r="Y68">
        <f t="shared" si="6"/>
        <v>1.2559822637274782</v>
      </c>
      <c r="Z68">
        <f t="shared" si="7"/>
        <v>1.0000000000635394</v>
      </c>
    </row>
    <row r="69" spans="1:26" x14ac:dyDescent="0.25">
      <c r="A69" t="s">
        <v>39</v>
      </c>
      <c r="B69" s="9">
        <v>45877</v>
      </c>
      <c r="C69" s="2">
        <v>638.32684326171875</v>
      </c>
      <c r="D69" s="3">
        <v>8.99640143942423E-2</v>
      </c>
      <c r="E69" s="4">
        <v>0.74126789249080638</v>
      </c>
      <c r="F69" s="5">
        <v>7.412678924908064E-3</v>
      </c>
      <c r="G69" s="4">
        <v>11.76726299044582</v>
      </c>
      <c r="H69" s="5">
        <v>0.1176726299044582</v>
      </c>
      <c r="I69" s="3">
        <v>0.12</v>
      </c>
      <c r="J69" s="2">
        <v>11301.48460930339</v>
      </c>
      <c r="K69" s="2">
        <v>1506864.6145737851</v>
      </c>
      <c r="L69" s="6">
        <v>16.698220091081719</v>
      </c>
      <c r="M69" s="7">
        <v>1.4843300699998441</v>
      </c>
      <c r="N69" s="6">
        <v>4.7317119382492354</v>
      </c>
      <c r="O69" s="2">
        <v>2245.4663263087041</v>
      </c>
      <c r="P69" s="2">
        <v>299.85124652072238</v>
      </c>
      <c r="Q69" s="2">
        <v>191403.09963966411</v>
      </c>
      <c r="R69" s="3">
        <v>0.12702076735261469</v>
      </c>
      <c r="S69" s="2">
        <v>1418.809722861017</v>
      </c>
      <c r="T69" s="7">
        <v>1344.7339381446859</v>
      </c>
      <c r="U69" t="s">
        <v>55</v>
      </c>
      <c r="V69" s="5">
        <v>4.4228488082646784</v>
      </c>
      <c r="W69">
        <f t="shared" si="4"/>
        <v>1585.0499983680429</v>
      </c>
      <c r="X69">
        <f t="shared" si="5"/>
        <v>0.84838581718508255</v>
      </c>
      <c r="Y69">
        <f t="shared" si="6"/>
        <v>1.2610224086122199</v>
      </c>
      <c r="Z69">
        <f t="shared" si="7"/>
        <v>1.0000000000625309</v>
      </c>
    </row>
    <row r="70" spans="1:26" x14ac:dyDescent="0.25">
      <c r="A70" t="s">
        <v>39</v>
      </c>
      <c r="B70" s="9">
        <v>45880</v>
      </c>
      <c r="C70" s="2">
        <v>637.06060791015625</v>
      </c>
      <c r="D70" s="3">
        <v>8.99640143942423E-2</v>
      </c>
      <c r="E70" s="4">
        <v>0.72950682616032447</v>
      </c>
      <c r="F70" s="5">
        <v>7.2950682616032443E-3</v>
      </c>
      <c r="G70" s="4">
        <v>11.580561850465481</v>
      </c>
      <c r="H70" s="5">
        <v>0.1158056185046548</v>
      </c>
      <c r="I70" s="3">
        <v>0.12</v>
      </c>
      <c r="J70" s="2">
        <v>11279.37720360785</v>
      </c>
      <c r="K70" s="2">
        <v>1503916.9604810469</v>
      </c>
      <c r="L70" s="6">
        <v>17.221985678604149</v>
      </c>
      <c r="M70" s="7">
        <v>1.4842551265981201</v>
      </c>
      <c r="N70" s="6">
        <v>4.6474006214830492</v>
      </c>
      <c r="O70" s="2">
        <v>2315.8988624260751</v>
      </c>
      <c r="P70" s="2">
        <v>309.24093193966542</v>
      </c>
      <c r="Q70" s="2">
        <v>197005.21609218651</v>
      </c>
      <c r="R70" s="3">
        <v>0.13099474323979421</v>
      </c>
      <c r="S70" s="2">
        <v>1437.166499284398</v>
      </c>
      <c r="T70" s="7">
        <v>1344.7339381446859</v>
      </c>
      <c r="U70" t="s">
        <v>55</v>
      </c>
      <c r="V70" s="5">
        <v>4.3526752330557148</v>
      </c>
      <c r="W70">
        <f t="shared" si="4"/>
        <v>1613.8053528956682</v>
      </c>
      <c r="X70">
        <f t="shared" si="5"/>
        <v>0.83326897864839489</v>
      </c>
      <c r="Y70">
        <f t="shared" si="6"/>
        <v>1.2813525380367428</v>
      </c>
      <c r="Z70">
        <f t="shared" si="7"/>
        <v>1.0000000000615377</v>
      </c>
    </row>
    <row r="71" spans="1:26" x14ac:dyDescent="0.25">
      <c r="A71" t="s">
        <v>39</v>
      </c>
      <c r="B71" s="9">
        <v>45881</v>
      </c>
      <c r="C71" s="2">
        <v>643.80035400390625</v>
      </c>
      <c r="D71" s="3">
        <v>8.99640143942423E-2</v>
      </c>
      <c r="E71" s="4">
        <v>0.74116229204382522</v>
      </c>
      <c r="F71" s="5">
        <v>7.4116229204382522E-3</v>
      </c>
      <c r="G71" s="4">
        <v>11.765586635319529</v>
      </c>
      <c r="H71" s="5">
        <v>0.1176558663531953</v>
      </c>
      <c r="I71" s="3">
        <v>0.12</v>
      </c>
      <c r="J71" s="2">
        <v>11373.685554400859</v>
      </c>
      <c r="K71" s="2">
        <v>1516491.4072534479</v>
      </c>
      <c r="L71" s="6">
        <v>18.540475650137459</v>
      </c>
      <c r="M71" s="7">
        <v>1.484181372774201</v>
      </c>
      <c r="N71" s="6">
        <v>4.771605459921612</v>
      </c>
      <c r="O71" s="2">
        <v>2493.2006836085011</v>
      </c>
      <c r="P71" s="2">
        <v>332.89942139923909</v>
      </c>
      <c r="Q71" s="2">
        <v>214320.76534452569</v>
      </c>
      <c r="R71" s="3">
        <v>0.14132672583531941</v>
      </c>
      <c r="S71" s="2">
        <v>1588.4646967533549</v>
      </c>
      <c r="T71" s="7">
        <v>1344.7339381446859</v>
      </c>
      <c r="U71" t="s">
        <v>55</v>
      </c>
      <c r="V71" s="5">
        <v>4.4222187326660798</v>
      </c>
      <c r="W71">
        <f t="shared" si="4"/>
        <v>1571.7980170395751</v>
      </c>
      <c r="X71">
        <f t="shared" si="5"/>
        <v>0.85553864018574333</v>
      </c>
      <c r="Y71">
        <f t="shared" si="6"/>
        <v>1.2612020784786342</v>
      </c>
      <c r="Z71">
        <f t="shared" si="7"/>
        <v>1.0000000000605611</v>
      </c>
    </row>
    <row r="72" spans="1:26" x14ac:dyDescent="0.25">
      <c r="A72" t="s">
        <v>39</v>
      </c>
      <c r="B72" s="9">
        <v>45882</v>
      </c>
      <c r="C72" s="2">
        <v>646.1632080078125</v>
      </c>
      <c r="D72" s="3">
        <v>8.99640143942423E-2</v>
      </c>
      <c r="E72" s="4">
        <v>0.72686224362662721</v>
      </c>
      <c r="F72" s="5">
        <v>7.268622436266272E-3</v>
      </c>
      <c r="G72" s="4">
        <v>11.53858040423099</v>
      </c>
      <c r="H72" s="5">
        <v>0.1153858040423099</v>
      </c>
      <c r="I72" s="3">
        <v>0.12</v>
      </c>
      <c r="J72" s="2">
        <v>11457.40089493069</v>
      </c>
      <c r="K72" s="2">
        <v>1527653.452657426</v>
      </c>
      <c r="L72" s="6">
        <v>19.394062676972041</v>
      </c>
      <c r="M72" s="7">
        <v>1.4841087896459011</v>
      </c>
      <c r="N72" s="6">
        <v>4.696716391215376</v>
      </c>
      <c r="O72" s="2">
        <v>2607.9854280229488</v>
      </c>
      <c r="P72" s="2">
        <v>348.20878519491617</v>
      </c>
      <c r="Q72" s="2">
        <v>224999.7056980503</v>
      </c>
      <c r="R72" s="3">
        <v>0.14728452012899429</v>
      </c>
      <c r="S72" s="2">
        <v>1635.437908990157</v>
      </c>
      <c r="T72" s="7">
        <v>1344.7339381446859</v>
      </c>
      <c r="U72" t="s">
        <v>55</v>
      </c>
      <c r="V72" s="5">
        <v>4.3368960676203709</v>
      </c>
      <c r="W72">
        <f t="shared" si="4"/>
        <v>1596.8603116057459</v>
      </c>
      <c r="X72">
        <f t="shared" si="5"/>
        <v>0.84211119054770001</v>
      </c>
      <c r="Y72">
        <f t="shared" si="6"/>
        <v>1.286014552842593</v>
      </c>
      <c r="Z72">
        <f t="shared" si="7"/>
        <v>1.0000000000596001</v>
      </c>
    </row>
    <row r="73" spans="1:26" x14ac:dyDescent="0.25">
      <c r="A73" t="s">
        <v>39</v>
      </c>
      <c r="B73" s="9">
        <v>45883</v>
      </c>
      <c r="C73" s="2">
        <v>646.18316650390625</v>
      </c>
      <c r="D73" s="3">
        <v>8.99640143942423E-2</v>
      </c>
      <c r="E73" s="4">
        <v>0.71305039237602708</v>
      </c>
      <c r="F73" s="5">
        <v>7.1305039237602704E-3</v>
      </c>
      <c r="G73" s="4">
        <v>11.31932406290397</v>
      </c>
      <c r="H73" s="5">
        <v>0.1131932406290397</v>
      </c>
      <c r="I73" s="3">
        <v>0.12</v>
      </c>
      <c r="J73" s="2">
        <v>11377.806941466981</v>
      </c>
      <c r="K73" s="2">
        <v>1517040.92552893</v>
      </c>
      <c r="L73" s="6">
        <v>19.81184593945245</v>
      </c>
      <c r="M73" s="7">
        <v>1.484037358630748</v>
      </c>
      <c r="N73" s="6">
        <v>4.6076116042239397</v>
      </c>
      <c r="O73" s="2">
        <v>2664.1661612075709</v>
      </c>
      <c r="P73" s="2">
        <v>355.69271304878049</v>
      </c>
      <c r="Q73" s="2">
        <v>229842.6436202263</v>
      </c>
      <c r="R73" s="3">
        <v>0.15150721365021161</v>
      </c>
      <c r="S73" s="2">
        <v>1638.893872181457</v>
      </c>
      <c r="T73" s="7">
        <v>1344.7339381446859</v>
      </c>
      <c r="U73" t="s">
        <v>55</v>
      </c>
      <c r="V73" s="5">
        <v>4.2544862796577778</v>
      </c>
      <c r="W73">
        <f t="shared" si="4"/>
        <v>1627.7413645552326</v>
      </c>
      <c r="X73">
        <f t="shared" si="5"/>
        <v>0.82613489306522836</v>
      </c>
      <c r="Y73">
        <f t="shared" si="6"/>
        <v>1.3109247722322515</v>
      </c>
      <c r="Z73">
        <f t="shared" si="7"/>
        <v>1.0000000000586542</v>
      </c>
    </row>
    <row r="74" spans="1:26" x14ac:dyDescent="0.25">
      <c r="A74" t="s">
        <v>39</v>
      </c>
      <c r="B74" s="9">
        <v>45884</v>
      </c>
      <c r="C74" s="2">
        <v>644.7275390625</v>
      </c>
      <c r="D74" s="3">
        <v>8.99640143942423E-2</v>
      </c>
      <c r="E74" s="4">
        <v>0.70398692802698049</v>
      </c>
      <c r="F74" s="5">
        <v>7.0398692802698046E-3</v>
      </c>
      <c r="G74" s="4">
        <v>11.1754460267983</v>
      </c>
      <c r="H74" s="5">
        <v>0.111754460267983</v>
      </c>
      <c r="I74" s="3">
        <v>0.12</v>
      </c>
      <c r="J74" s="2">
        <v>11395.888104956661</v>
      </c>
      <c r="K74" s="2">
        <v>1519451.747327555</v>
      </c>
      <c r="L74" s="6">
        <v>19.218244778590002</v>
      </c>
      <c r="M74" s="7">
        <v>1.4839670614412319</v>
      </c>
      <c r="N74" s="6">
        <v>4.5387975963900438</v>
      </c>
      <c r="O74" s="2">
        <v>2584.3425985341878</v>
      </c>
      <c r="P74" s="2">
        <v>345.0191285820195</v>
      </c>
      <c r="Q74" s="2">
        <v>222443.33370017371</v>
      </c>
      <c r="R74" s="3">
        <v>0.1463971028309467</v>
      </c>
      <c r="S74" s="2">
        <v>1565.9719915166579</v>
      </c>
      <c r="T74" s="7">
        <v>1344.7339381446859</v>
      </c>
      <c r="U74" t="s">
        <v>55</v>
      </c>
      <c r="V74" s="5">
        <v>4.2004082157067923</v>
      </c>
      <c r="W74">
        <f t="shared" si="4"/>
        <v>1652.4200166945457</v>
      </c>
      <c r="X74">
        <f t="shared" si="5"/>
        <v>0.81379668883136247</v>
      </c>
      <c r="Y74">
        <f t="shared" si="6"/>
        <v>1.3278022446175821</v>
      </c>
      <c r="Z74">
        <f t="shared" si="7"/>
        <v>1.0000000000577232</v>
      </c>
    </row>
    <row r="75" spans="1:26" x14ac:dyDescent="0.25">
      <c r="A75" t="s">
        <v>39</v>
      </c>
      <c r="B75" s="9">
        <v>45887</v>
      </c>
      <c r="C75" s="2">
        <v>644.428466796875</v>
      </c>
      <c r="D75" s="3">
        <v>8.99640143942423E-2</v>
      </c>
      <c r="E75" s="4">
        <v>0.69115176685347668</v>
      </c>
      <c r="F75" s="5">
        <v>6.9115176685347656E-3</v>
      </c>
      <c r="G75" s="4">
        <v>10.971694159783169</v>
      </c>
      <c r="H75" s="5">
        <v>0.1097169415978317</v>
      </c>
      <c r="I75" s="3">
        <v>0.12</v>
      </c>
      <c r="J75" s="2">
        <v>11390.214765752589</v>
      </c>
      <c r="K75" s="2">
        <v>1518695.302100346</v>
      </c>
      <c r="L75" s="6">
        <v>18.813744246543099</v>
      </c>
      <c r="M75" s="7">
        <v>1.483897880080121</v>
      </c>
      <c r="N75" s="6">
        <v>4.4539787343733712</v>
      </c>
      <c r="O75" s="2">
        <v>2529.9480391900829</v>
      </c>
      <c r="P75" s="2">
        <v>337.74151126233352</v>
      </c>
      <c r="Q75" s="2">
        <v>217650.2442764451</v>
      </c>
      <c r="R75" s="3">
        <v>0.1433139642793628</v>
      </c>
      <c r="S75" s="2">
        <v>1504.293508877558</v>
      </c>
      <c r="T75" s="7">
        <v>1344.7339381446859</v>
      </c>
      <c r="U75" t="s">
        <v>55</v>
      </c>
      <c r="V75" s="5">
        <v>4.1238259464959084</v>
      </c>
      <c r="W75">
        <f t="shared" si="4"/>
        <v>1683.8876984569106</v>
      </c>
      <c r="X75">
        <f t="shared" si="5"/>
        <v>0.79858884851821166</v>
      </c>
      <c r="Y75">
        <f t="shared" si="6"/>
        <v>1.3524604407382317</v>
      </c>
      <c r="Z75">
        <f t="shared" si="7"/>
        <v>1.0000000000568063</v>
      </c>
    </row>
    <row r="76" spans="1:26" x14ac:dyDescent="0.25">
      <c r="A76" t="s">
        <v>39</v>
      </c>
      <c r="B76" s="9">
        <v>45888</v>
      </c>
      <c r="C76" s="2">
        <v>641.01873779296875</v>
      </c>
      <c r="D76" s="3">
        <v>8.99640143942423E-2</v>
      </c>
      <c r="E76" s="4">
        <v>0.69283688517402198</v>
      </c>
      <c r="F76" s="5">
        <v>6.9283688517402199E-3</v>
      </c>
      <c r="G76" s="4">
        <v>10.998444583818459</v>
      </c>
      <c r="H76" s="5">
        <v>0.10998444583818461</v>
      </c>
      <c r="I76" s="3">
        <v>0.12</v>
      </c>
      <c r="J76" s="2">
        <v>11354.148000599491</v>
      </c>
      <c r="K76" s="2">
        <v>1513886.4000799321</v>
      </c>
      <c r="L76" s="6">
        <v>16.023623128248289</v>
      </c>
      <c r="M76" s="7">
        <v>1.4838297968358529</v>
      </c>
      <c r="N76" s="6">
        <v>4.4412142563066359</v>
      </c>
      <c r="O76" s="2">
        <v>2154.7509832595601</v>
      </c>
      <c r="P76" s="2">
        <v>287.6404780276718</v>
      </c>
      <c r="Q76" s="2">
        <v>184382.9361634643</v>
      </c>
      <c r="R76" s="3">
        <v>0.1217944332901921</v>
      </c>
      <c r="S76" s="2">
        <v>1277.4729917073521</v>
      </c>
      <c r="T76" s="7">
        <v>1344.733938144687</v>
      </c>
      <c r="U76" t="s">
        <v>55</v>
      </c>
      <c r="V76" s="5">
        <v>4.1338803730147262</v>
      </c>
      <c r="W76">
        <f t="shared" si="4"/>
        <v>1688.7273540901142</v>
      </c>
      <c r="X76">
        <f t="shared" si="5"/>
        <v>0.79630020493700671</v>
      </c>
      <c r="Y76">
        <f t="shared" si="6"/>
        <v>1.349170985578914</v>
      </c>
      <c r="Z76">
        <f t="shared" si="7"/>
        <v>1.0000000000559057</v>
      </c>
    </row>
    <row r="77" spans="1:26" x14ac:dyDescent="0.25">
      <c r="A77" t="s">
        <v>39</v>
      </c>
      <c r="B77" s="9">
        <v>45889</v>
      </c>
      <c r="C77" s="2">
        <v>639.30389404296875</v>
      </c>
      <c r="D77" s="3">
        <v>8.99640143942423E-2</v>
      </c>
      <c r="E77" s="4">
        <v>0.68374691844377511</v>
      </c>
      <c r="F77" s="5">
        <v>6.8374691844377512E-3</v>
      </c>
      <c r="G77" s="4">
        <v>10.85414583545395</v>
      </c>
      <c r="H77" s="5">
        <v>0.1085414583545395</v>
      </c>
      <c r="I77" s="3">
        <v>0.12</v>
      </c>
      <c r="J77" s="2">
        <v>11354.820628671199</v>
      </c>
      <c r="K77" s="2">
        <v>1513976.0838228271</v>
      </c>
      <c r="L77" s="6">
        <v>13.72729710312341</v>
      </c>
      <c r="M77" s="7">
        <v>1.4837627942780029</v>
      </c>
      <c r="N77" s="6">
        <v>4.3712206750098561</v>
      </c>
      <c r="O77" s="2">
        <v>1845.9562293565291</v>
      </c>
      <c r="P77" s="2">
        <v>246.40794237813</v>
      </c>
      <c r="Q77" s="2">
        <v>157529.557085454</v>
      </c>
      <c r="R77" s="3">
        <v>0.1040502282491068</v>
      </c>
      <c r="S77" s="2">
        <v>1077.1034922099191</v>
      </c>
      <c r="T77" s="7">
        <v>1344.7339381446859</v>
      </c>
      <c r="U77" t="s">
        <v>55</v>
      </c>
      <c r="V77" s="5">
        <v>4.0796441799631884</v>
      </c>
      <c r="W77">
        <f t="shared" si="4"/>
        <v>1715.7678730056541</v>
      </c>
      <c r="X77">
        <f t="shared" si="5"/>
        <v>0.78375050570739679</v>
      </c>
      <c r="Y77">
        <f t="shared" si="6"/>
        <v>1.3671073287513855</v>
      </c>
      <c r="Z77">
        <f t="shared" si="7"/>
        <v>1.000000000055018</v>
      </c>
    </row>
    <row r="78" spans="1:26" x14ac:dyDescent="0.25">
      <c r="A78" t="s">
        <v>39</v>
      </c>
      <c r="B78" s="9">
        <v>45890</v>
      </c>
      <c r="C78" s="2">
        <v>636.781494140625</v>
      </c>
      <c r="D78" s="3">
        <v>8.99640143942423E-2</v>
      </c>
      <c r="E78" s="4">
        <v>0.67808420906964895</v>
      </c>
      <c r="F78" s="5">
        <v>6.7808420906964898E-3</v>
      </c>
      <c r="G78" s="4">
        <v>10.764253110949319</v>
      </c>
      <c r="H78" s="5">
        <v>0.10764253110949321</v>
      </c>
      <c r="I78" s="3">
        <v>0.12</v>
      </c>
      <c r="J78" s="2">
        <v>11306.542477218391</v>
      </c>
      <c r="K78" s="2">
        <v>1507538.9969624509</v>
      </c>
      <c r="L78" s="6">
        <v>9.2552704369584848</v>
      </c>
      <c r="M78" s="7">
        <v>1.483696855252816</v>
      </c>
      <c r="N78" s="6">
        <v>4.3179147580453501</v>
      </c>
      <c r="O78" s="2">
        <v>1244.5876263285279</v>
      </c>
      <c r="P78" s="2">
        <v>166.12671655869639</v>
      </c>
      <c r="Q78" s="2">
        <v>105786.4187869228</v>
      </c>
      <c r="R78" s="3">
        <v>7.0171596887425441E-2</v>
      </c>
      <c r="S78" s="2">
        <v>717.32100113441231</v>
      </c>
      <c r="T78" s="7">
        <v>1344.733938144687</v>
      </c>
      <c r="U78" t="s">
        <v>55</v>
      </c>
      <c r="V78" s="5">
        <v>4.0458570597322749</v>
      </c>
      <c r="W78">
        <f t="shared" si="4"/>
        <v>1736.9495277843623</v>
      </c>
      <c r="X78">
        <f t="shared" si="5"/>
        <v>0.77419286895458495</v>
      </c>
      <c r="Y78">
        <f t="shared" si="6"/>
        <v>1.3785240987961824</v>
      </c>
      <c r="Z78">
        <f t="shared" si="7"/>
        <v>1.0000000000541449</v>
      </c>
    </row>
    <row r="79" spans="1:26" x14ac:dyDescent="0.25">
      <c r="A79" t="s">
        <v>39</v>
      </c>
      <c r="B79" s="9">
        <v>45891</v>
      </c>
      <c r="C79" s="2">
        <v>646.55206298828125</v>
      </c>
      <c r="D79" s="3">
        <v>8.99640143942423E-2</v>
      </c>
      <c r="E79" s="4">
        <v>0.73482032213024528</v>
      </c>
      <c r="F79" s="5">
        <v>7.3482032213024531E-3</v>
      </c>
      <c r="G79" s="4">
        <v>11.664910984038009</v>
      </c>
      <c r="H79" s="5">
        <v>0.1166491098403801</v>
      </c>
      <c r="I79" s="3">
        <v>0.12</v>
      </c>
      <c r="J79" s="2">
        <v>11463.74900578402</v>
      </c>
      <c r="K79" s="2">
        <v>1528499.8674378691</v>
      </c>
      <c r="L79" s="6">
        <v>15.407462707897711</v>
      </c>
      <c r="M79" s="7">
        <v>1.483631962878823</v>
      </c>
      <c r="N79" s="6">
        <v>4.7509959519902347</v>
      </c>
      <c r="O79" s="2">
        <v>2071.8938004008678</v>
      </c>
      <c r="P79" s="2">
        <v>276.54289076582057</v>
      </c>
      <c r="Q79" s="2">
        <v>178799.3765293842</v>
      </c>
      <c r="R79" s="3">
        <v>0.1169770310998421</v>
      </c>
      <c r="S79" s="2">
        <v>1313.8541545800911</v>
      </c>
      <c r="T79" s="7">
        <v>1344.7339381446859</v>
      </c>
      <c r="U79" t="s">
        <v>55</v>
      </c>
      <c r="V79" s="5">
        <v>4.3843787366828799</v>
      </c>
      <c r="W79">
        <f t="shared" si="4"/>
        <v>1578.6163734486415</v>
      </c>
      <c r="X79">
        <f t="shared" si="5"/>
        <v>0.85184339955057187</v>
      </c>
      <c r="Y79">
        <f t="shared" si="6"/>
        <v>1.2720870600118996</v>
      </c>
      <c r="Z79">
        <f t="shared" si="7"/>
        <v>1.0000000000532849</v>
      </c>
    </row>
    <row r="80" spans="1:26" x14ac:dyDescent="0.25">
      <c r="A80" t="s">
        <v>39</v>
      </c>
      <c r="B80" s="9">
        <v>45894</v>
      </c>
      <c r="C80" s="2">
        <v>643.70068359375</v>
      </c>
      <c r="D80" s="3">
        <v>8.99640143942423E-2</v>
      </c>
      <c r="E80" s="4">
        <v>0.73047397641831158</v>
      </c>
      <c r="F80" s="5">
        <v>7.3047397641831154E-3</v>
      </c>
      <c r="G80" s="4">
        <v>11.59591488484388</v>
      </c>
      <c r="H80" s="5">
        <v>0.1159591488484388</v>
      </c>
      <c r="I80" s="3">
        <v>0.12</v>
      </c>
      <c r="J80" s="2">
        <v>11392.93646668172</v>
      </c>
      <c r="K80" s="2">
        <v>1519058.1955575631</v>
      </c>
      <c r="L80" s="6">
        <v>15.33086834090925</v>
      </c>
      <c r="M80" s="7">
        <v>1.483568100542513</v>
      </c>
      <c r="N80" s="6">
        <v>4.7020659796791193</v>
      </c>
      <c r="O80" s="2">
        <v>2061.5938959248592</v>
      </c>
      <c r="P80" s="2">
        <v>275.15628209678192</v>
      </c>
      <c r="Q80" s="2">
        <v>177118.28688081319</v>
      </c>
      <c r="R80" s="3">
        <v>0.1165974334615948</v>
      </c>
      <c r="S80" s="2">
        <v>1293.8029931422691</v>
      </c>
      <c r="T80" s="7">
        <v>1344.733938144687</v>
      </c>
      <c r="U80" t="s">
        <v>55</v>
      </c>
      <c r="V80" s="5">
        <v>4.3584458315252874</v>
      </c>
      <c r="W80">
        <f t="shared" si="4"/>
        <v>1595.0435473284913</v>
      </c>
      <c r="X80">
        <f t="shared" si="5"/>
        <v>0.84307036030267446</v>
      </c>
      <c r="Y80">
        <f t="shared" si="6"/>
        <v>1.2796560225170364</v>
      </c>
      <c r="Z80">
        <f t="shared" si="7"/>
        <v>1.0000000000524398</v>
      </c>
    </row>
    <row r="81" spans="1:26" x14ac:dyDescent="0.25">
      <c r="A81" t="s">
        <v>39</v>
      </c>
      <c r="B81" s="9">
        <v>45895</v>
      </c>
      <c r="C81" s="2">
        <v>646.31280517578125</v>
      </c>
      <c r="D81" s="3">
        <v>8.99640143942423E-2</v>
      </c>
      <c r="E81" s="4">
        <v>0.71845659429976849</v>
      </c>
      <c r="F81" s="5">
        <v>7.1845659429976847E-3</v>
      </c>
      <c r="G81" s="4">
        <v>11.405144857869679</v>
      </c>
      <c r="H81" s="5">
        <v>0.1140514485786968</v>
      </c>
      <c r="I81" s="3">
        <v>0.12</v>
      </c>
      <c r="J81" s="2">
        <v>11418.91422183716</v>
      </c>
      <c r="K81" s="2">
        <v>1522521.8962449541</v>
      </c>
      <c r="L81" s="6">
        <v>17.507174907595161</v>
      </c>
      <c r="M81" s="7">
        <v>1.4835052518940799</v>
      </c>
      <c r="N81" s="6">
        <v>4.6434769685892157</v>
      </c>
      <c r="O81" s="2">
        <v>2354.249225927827</v>
      </c>
      <c r="P81" s="2">
        <v>314.20301696082959</v>
      </c>
      <c r="Q81" s="2">
        <v>203073.43328664731</v>
      </c>
      <c r="R81" s="3">
        <v>0.13337964714168909</v>
      </c>
      <c r="S81" s="2">
        <v>1458.994472718859</v>
      </c>
      <c r="T81" s="7">
        <v>1344.7339381446859</v>
      </c>
      <c r="U81" t="s">
        <v>55</v>
      </c>
      <c r="V81" s="5">
        <v>4.2867429226041116</v>
      </c>
      <c r="W81">
        <f t="shared" si="4"/>
        <v>1615.1689888274939</v>
      </c>
      <c r="X81">
        <f t="shared" si="5"/>
        <v>0.83256547608734988</v>
      </c>
      <c r="Y81">
        <f t="shared" si="6"/>
        <v>1.3010603989607814</v>
      </c>
      <c r="Z81">
        <f t="shared" si="7"/>
        <v>1.0000000000516065</v>
      </c>
    </row>
    <row r="82" spans="1:26" x14ac:dyDescent="0.25">
      <c r="A82" t="s">
        <v>39</v>
      </c>
      <c r="B82" s="9">
        <v>45896</v>
      </c>
      <c r="C82" s="2">
        <v>647.84814453125</v>
      </c>
      <c r="D82" s="3">
        <v>8.99640143942423E-2</v>
      </c>
      <c r="E82" s="4">
        <v>0.70441068018975783</v>
      </c>
      <c r="F82" s="5">
        <v>7.0441068018975784E-3</v>
      </c>
      <c r="G82" s="4">
        <v>11.18217288383971</v>
      </c>
      <c r="H82" s="5">
        <v>0.1118217288383971</v>
      </c>
      <c r="I82" s="3">
        <v>0.12</v>
      </c>
      <c r="J82" s="2">
        <v>11413.93726302697</v>
      </c>
      <c r="K82" s="2">
        <v>1521858.301736929</v>
      </c>
      <c r="L82" s="6">
        <v>18.653633945561989</v>
      </c>
      <c r="M82" s="7">
        <v>1.483443400843242</v>
      </c>
      <c r="N82" s="6">
        <v>4.5635115214893034</v>
      </c>
      <c r="O82" s="2">
        <v>2508.4174636324969</v>
      </c>
      <c r="P82" s="2">
        <v>334.76467408205991</v>
      </c>
      <c r="Q82" s="2">
        <v>216876.67295867109</v>
      </c>
      <c r="R82" s="3">
        <v>0.14250779636392241</v>
      </c>
      <c r="S82" s="2">
        <v>1527.7024471610921</v>
      </c>
      <c r="T82" s="7">
        <v>1344.7339381446859</v>
      </c>
      <c r="U82" t="s">
        <v>55</v>
      </c>
      <c r="V82" s="5">
        <v>4.2029365752474188</v>
      </c>
      <c r="W82">
        <f t="shared" si="4"/>
        <v>1643.4712533720904</v>
      </c>
      <c r="X82">
        <f t="shared" si="5"/>
        <v>0.81822784267479443</v>
      </c>
      <c r="Y82">
        <f t="shared" si="6"/>
        <v>1.3270034789419314</v>
      </c>
      <c r="Z82">
        <f t="shared" si="7"/>
        <v>1.0000000000507874</v>
      </c>
    </row>
    <row r="83" spans="1:26" x14ac:dyDescent="0.25">
      <c r="A83" t="s">
        <v>39</v>
      </c>
      <c r="B83" s="9">
        <v>45897</v>
      </c>
      <c r="C83" s="2">
        <v>650.18115234375</v>
      </c>
      <c r="D83" s="3">
        <v>8.99640143942423E-2</v>
      </c>
      <c r="E83" s="4">
        <v>0.69214420223257089</v>
      </c>
      <c r="F83" s="5">
        <v>6.9214420223257089E-3</v>
      </c>
      <c r="G83" s="4">
        <v>10.98744858301548</v>
      </c>
      <c r="H83" s="5">
        <v>0.1098744858301548</v>
      </c>
      <c r="I83" s="3">
        <v>0.12</v>
      </c>
      <c r="J83" s="2">
        <v>11469.880784424549</v>
      </c>
      <c r="K83" s="2">
        <v>1529317.437923274</v>
      </c>
      <c r="L83" s="6">
        <v>19.31719083436629</v>
      </c>
      <c r="M83" s="7">
        <v>1.483382531555115</v>
      </c>
      <c r="N83" s="6">
        <v>4.5001911499561844</v>
      </c>
      <c r="O83" s="2">
        <v>2597.6482104589818</v>
      </c>
      <c r="P83" s="2">
        <v>346.65887449969</v>
      </c>
      <c r="Q83" s="2">
        <v>225391.06649239591</v>
      </c>
      <c r="R83" s="3">
        <v>0.14738017163948919</v>
      </c>
      <c r="S83" s="2">
        <v>1560.0311990772771</v>
      </c>
      <c r="T83" s="7">
        <v>1344.7339381446859</v>
      </c>
      <c r="U83" t="s">
        <v>55</v>
      </c>
      <c r="V83" s="5">
        <v>4.1297474111622874</v>
      </c>
      <c r="W83">
        <f t="shared" si="4"/>
        <v>1666.5958733937387</v>
      </c>
      <c r="X83">
        <f t="shared" si="5"/>
        <v>0.80687463566459228</v>
      </c>
      <c r="Y83">
        <f t="shared" si="6"/>
        <v>1.3505212067088426</v>
      </c>
      <c r="Z83">
        <f t="shared" si="7"/>
        <v>1.0000000000499811</v>
      </c>
    </row>
    <row r="84" spans="1:26" x14ac:dyDescent="0.25">
      <c r="A84" t="s">
        <v>39</v>
      </c>
      <c r="B84" s="9">
        <v>45898</v>
      </c>
      <c r="C84" s="2">
        <v>646.37261962890625</v>
      </c>
      <c r="D84" s="3">
        <v>8.99640143942423E-2</v>
      </c>
      <c r="E84" s="4">
        <v>0.69660361192471898</v>
      </c>
      <c r="F84" s="5">
        <v>6.9660361192471886E-3</v>
      </c>
      <c r="G84" s="4">
        <v>11.058239517252931</v>
      </c>
      <c r="H84" s="5">
        <v>0.1105823951725293</v>
      </c>
      <c r="I84" s="3">
        <v>0.12</v>
      </c>
      <c r="J84" s="2">
        <v>11463.95319338294</v>
      </c>
      <c r="K84" s="2">
        <v>1528527.092451059</v>
      </c>
      <c r="L84" s="6">
        <v>17.040858630035391</v>
      </c>
      <c r="M84" s="7">
        <v>1.483322628446164</v>
      </c>
      <c r="N84" s="6">
        <v>4.5026550148273854</v>
      </c>
      <c r="O84" s="2">
        <v>2291.542093493435</v>
      </c>
      <c r="P84" s="2">
        <v>305.79634316609992</v>
      </c>
      <c r="Q84" s="2">
        <v>197658.38340521199</v>
      </c>
      <c r="R84" s="3">
        <v>0.12931297350330781</v>
      </c>
      <c r="S84" s="2">
        <v>1376.8954380727159</v>
      </c>
      <c r="T84" s="7">
        <v>1344.7339381446859</v>
      </c>
      <c r="U84" t="s">
        <v>55</v>
      </c>
      <c r="V84" s="5">
        <v>4.1563549238338631</v>
      </c>
      <c r="W84">
        <f t="shared" si="4"/>
        <v>1665.6839076727538</v>
      </c>
      <c r="X84">
        <f t="shared" si="5"/>
        <v>0.80731640135943317</v>
      </c>
      <c r="Y84">
        <f t="shared" si="6"/>
        <v>1.3418756480933645</v>
      </c>
      <c r="Z84">
        <f t="shared" si="7"/>
        <v>1.0000000000491871</v>
      </c>
    </row>
    <row r="85" spans="1:26" x14ac:dyDescent="0.25">
      <c r="A85" t="s">
        <v>39</v>
      </c>
      <c r="B85" s="9">
        <v>45901</v>
      </c>
      <c r="D85" s="3">
        <v>8.99640143942423E-2</v>
      </c>
      <c r="E85" s="4">
        <v>0.69659095844986973</v>
      </c>
      <c r="F85" s="5">
        <v>6.965909584498697E-3</v>
      </c>
      <c r="G85" s="4">
        <v>11.0580386495669</v>
      </c>
      <c r="H85" s="5">
        <v>0.11058038649566899</v>
      </c>
      <c r="I85" s="3">
        <v>0.12</v>
      </c>
      <c r="J85" s="2">
        <v>11463.82361007731</v>
      </c>
      <c r="K85" s="2">
        <v>1528509.8146769749</v>
      </c>
      <c r="L85" s="6">
        <v>17.038371766778219</v>
      </c>
      <c r="M85" s="7">
        <v>1.483263676180214</v>
      </c>
      <c r="O85" s="2">
        <v>2291.2076765512911</v>
      </c>
      <c r="P85" s="2">
        <v>305.73956506840818</v>
      </c>
      <c r="T85" s="7">
        <v>1344.7339381446859</v>
      </c>
      <c r="U85" t="s">
        <v>55</v>
      </c>
      <c r="V85" s="5">
        <v>4.1562794256142261</v>
      </c>
      <c r="W85" t="e">
        <f t="shared" si="4"/>
        <v>#DIV/0!</v>
      </c>
      <c r="X85" t="e">
        <f t="shared" si="5"/>
        <v>#DIV/0!</v>
      </c>
      <c r="Y85">
        <f t="shared" si="6"/>
        <v>1.3419000230720486</v>
      </c>
      <c r="Z85">
        <f t="shared" si="7"/>
        <v>1.0000000000484071</v>
      </c>
    </row>
    <row r="86" spans="1:26" x14ac:dyDescent="0.25">
      <c r="A86" t="s">
        <v>39</v>
      </c>
      <c r="B86" s="9">
        <v>45902</v>
      </c>
      <c r="C86" s="2">
        <v>641.4873046875</v>
      </c>
      <c r="D86" s="3">
        <v>8.99640143942423E-2</v>
      </c>
      <c r="E86" s="4">
        <v>0.69657832015736632</v>
      </c>
      <c r="F86" s="5">
        <v>6.9657832015736628E-3</v>
      </c>
      <c r="G86" s="4">
        <v>11.057838022893129</v>
      </c>
      <c r="H86" s="5">
        <v>0.11057838022893129</v>
      </c>
      <c r="I86" s="3">
        <v>0.12</v>
      </c>
      <c r="J86" s="2">
        <v>11424.416024891259</v>
      </c>
      <c r="K86" s="2">
        <v>1523255.4699855009</v>
      </c>
      <c r="L86" s="6">
        <v>11.59389256857291</v>
      </c>
      <c r="M86" s="7">
        <v>1.483205659664516</v>
      </c>
      <c r="N86" s="6">
        <v>4.4684614910149536</v>
      </c>
      <c r="O86" s="2">
        <v>1559.0700812163459</v>
      </c>
      <c r="P86" s="2">
        <v>208.0347272438211</v>
      </c>
      <c r="Q86" s="2">
        <v>133451.636461038</v>
      </c>
      <c r="R86" s="3">
        <v>8.7609491047688989E-2</v>
      </c>
      <c r="S86" s="2">
        <v>929.59516748281396</v>
      </c>
      <c r="T86" s="7">
        <v>1344.733938144687</v>
      </c>
      <c r="U86" t="s">
        <v>55</v>
      </c>
      <c r="V86" s="5">
        <v>4.1562040179815689</v>
      </c>
      <c r="W86">
        <f t="shared" si="4"/>
        <v>1678.43004020081</v>
      </c>
      <c r="X86">
        <f t="shared" si="5"/>
        <v>0.80118557576805582</v>
      </c>
      <c r="Y86">
        <f t="shared" si="6"/>
        <v>1.3419243696882304</v>
      </c>
      <c r="Z86">
        <f t="shared" si="7"/>
        <v>1.0000000000476394</v>
      </c>
    </row>
    <row r="87" spans="1:26" x14ac:dyDescent="0.25">
      <c r="A87" t="s">
        <v>39</v>
      </c>
      <c r="B87" s="9">
        <v>45903</v>
      </c>
      <c r="C87" s="2">
        <v>644.93695068359375</v>
      </c>
      <c r="D87" s="3">
        <v>8.99640143942423E-2</v>
      </c>
      <c r="E87" s="4">
        <v>0.68829213460979899</v>
      </c>
      <c r="F87" s="5">
        <v>6.8829213460979899E-3</v>
      </c>
      <c r="G87" s="4">
        <v>10.92629890523593</v>
      </c>
      <c r="H87" s="5">
        <v>0.1092629890523593</v>
      </c>
      <c r="I87" s="3">
        <v>0.12</v>
      </c>
      <c r="J87" s="2">
        <v>11486.59789577323</v>
      </c>
      <c r="K87" s="2">
        <v>1531546.3861030969</v>
      </c>
      <c r="L87" s="6">
        <v>12.90514083185372</v>
      </c>
      <c r="M87" s="7">
        <v>1.483148564045893</v>
      </c>
      <c r="N87" s="6">
        <v>4.4390503047474539</v>
      </c>
      <c r="O87" s="2">
        <v>1735.398085313044</v>
      </c>
      <c r="P87" s="2">
        <v>231.55416436859539</v>
      </c>
      <c r="Q87" s="2">
        <v>149337.83668596961</v>
      </c>
      <c r="R87" s="3">
        <v>9.750787703266911E-2</v>
      </c>
      <c r="S87" s="2">
        <v>1027.8805839059551</v>
      </c>
      <c r="T87" s="7">
        <v>1344.7339381446859</v>
      </c>
      <c r="U87" t="s">
        <v>55</v>
      </c>
      <c r="V87" s="5">
        <v>4.1067636655187476</v>
      </c>
      <c r="W87">
        <f t="shared" si="4"/>
        <v>1689.550576162414</v>
      </c>
      <c r="X87">
        <f t="shared" si="5"/>
        <v>0.79591221305672155</v>
      </c>
      <c r="Y87">
        <f t="shared" si="6"/>
        <v>1.3580794784842118</v>
      </c>
      <c r="Z87">
        <f t="shared" si="7"/>
        <v>1.0000000000468825</v>
      </c>
    </row>
    <row r="88" spans="1:26" x14ac:dyDescent="0.25">
      <c r="A88" t="s">
        <v>39</v>
      </c>
      <c r="B88" s="9">
        <v>45904</v>
      </c>
      <c r="C88" s="2">
        <v>650.25091552734375</v>
      </c>
      <c r="D88" s="3">
        <v>8.99640143942423E-2</v>
      </c>
      <c r="E88" s="4">
        <v>0.69136179559330091</v>
      </c>
      <c r="F88" s="5">
        <v>6.9136179559330093E-3</v>
      </c>
      <c r="G88" s="4">
        <v>10.975028262665671</v>
      </c>
      <c r="H88" s="5">
        <v>0.1097502826266567</v>
      </c>
      <c r="I88" s="3">
        <v>0.12</v>
      </c>
      <c r="J88" s="2">
        <v>11516.613082889749</v>
      </c>
      <c r="K88" s="2">
        <v>1535548.4110519669</v>
      </c>
      <c r="L88" s="6">
        <v>16.81260205260859</v>
      </c>
      <c r="M88" s="7">
        <v>1.48309237470693</v>
      </c>
      <c r="N88" s="6">
        <v>4.4955864054517223</v>
      </c>
      <c r="O88" s="2">
        <v>2260.8476568663791</v>
      </c>
      <c r="P88" s="2">
        <v>301.65347142203791</v>
      </c>
      <c r="Q88" s="2">
        <v>196150.4459641815</v>
      </c>
      <c r="R88" s="3">
        <v>0.12773966913215301</v>
      </c>
      <c r="S88" s="2">
        <v>1356.1092452822329</v>
      </c>
      <c r="T88" s="7">
        <v>1344.7339381446859</v>
      </c>
      <c r="U88" t="s">
        <v>55</v>
      </c>
      <c r="V88" s="5">
        <v>4.1250791039185382</v>
      </c>
      <c r="W88">
        <f t="shared" si="4"/>
        <v>1668.3029361653189</v>
      </c>
      <c r="X88">
        <f t="shared" si="5"/>
        <v>0.80604901483637426</v>
      </c>
      <c r="Y88">
        <f t="shared" si="6"/>
        <v>1.3520495768984293</v>
      </c>
      <c r="Z88">
        <f t="shared" si="7"/>
        <v>1.0000000000461378</v>
      </c>
    </row>
    <row r="89" spans="1:26" x14ac:dyDescent="0.25">
      <c r="A89" t="s">
        <v>39</v>
      </c>
      <c r="B89" s="9">
        <v>45905</v>
      </c>
      <c r="C89" s="2">
        <v>648.51611328125</v>
      </c>
      <c r="D89" s="3">
        <v>8.99640143942423E-2</v>
      </c>
      <c r="E89" s="4">
        <v>0.68371611268526811</v>
      </c>
      <c r="F89" s="5">
        <v>6.8371611268526807E-3</v>
      </c>
      <c r="G89" s="4">
        <v>10.853656809198201</v>
      </c>
      <c r="H89" s="5">
        <v>0.10853656809198201</v>
      </c>
      <c r="I89" s="3">
        <v>0.12</v>
      </c>
      <c r="J89" s="2">
        <v>11595.659926064451</v>
      </c>
      <c r="K89" s="2">
        <v>1546087.9901419261</v>
      </c>
      <c r="L89" s="6">
        <v>16.547182053467981</v>
      </c>
      <c r="M89" s="7">
        <v>1.483037077262237</v>
      </c>
      <c r="N89" s="6">
        <v>4.4340091598641518</v>
      </c>
      <c r="O89" s="2">
        <v>2225.1557287957071</v>
      </c>
      <c r="P89" s="2">
        <v>296.88020826699341</v>
      </c>
      <c r="Q89" s="2">
        <v>192531.59877543859</v>
      </c>
      <c r="R89" s="3">
        <v>0.1245282286668333</v>
      </c>
      <c r="S89" s="2">
        <v>1316.3695628382261</v>
      </c>
      <c r="T89" s="7">
        <v>1344.7339381446859</v>
      </c>
      <c r="U89" t="s">
        <v>55</v>
      </c>
      <c r="V89" s="5">
        <v>4.0794603743327533</v>
      </c>
      <c r="W89">
        <f t="shared" si="4"/>
        <v>1691.4714718879343</v>
      </c>
      <c r="X89">
        <f t="shared" si="5"/>
        <v>0.79500834657516417</v>
      </c>
      <c r="Y89">
        <f t="shared" si="6"/>
        <v>1.367168925629741</v>
      </c>
      <c r="Z89">
        <f t="shared" si="7"/>
        <v>1.0000000000454057</v>
      </c>
    </row>
    <row r="90" spans="1:26" x14ac:dyDescent="0.25">
      <c r="A90" t="s">
        <v>39</v>
      </c>
      <c r="B90" s="9">
        <v>45908</v>
      </c>
      <c r="C90" s="2">
        <v>650.16119384765625</v>
      </c>
      <c r="D90" s="3">
        <v>8.99640143942423E-2</v>
      </c>
      <c r="E90" s="4">
        <v>0.66956665493981449</v>
      </c>
      <c r="F90" s="5">
        <v>6.6956665493981436E-3</v>
      </c>
      <c r="G90" s="4">
        <v>10.62904113091288</v>
      </c>
      <c r="H90" s="5">
        <v>0.10629041130912879</v>
      </c>
      <c r="I90" s="3">
        <v>0.12</v>
      </c>
      <c r="J90" s="2">
        <v>11652.8270801252</v>
      </c>
      <c r="K90" s="2">
        <v>1553710.2773500271</v>
      </c>
      <c r="L90" s="6">
        <v>18.07881081211416</v>
      </c>
      <c r="M90" s="7">
        <v>1.4829826575547611</v>
      </c>
      <c r="N90" s="6">
        <v>4.3532625573625143</v>
      </c>
      <c r="O90" s="2">
        <v>2431.119046034702</v>
      </c>
      <c r="P90" s="2">
        <v>324.34792535020893</v>
      </c>
      <c r="Q90" s="2">
        <v>210878.43436770231</v>
      </c>
      <c r="R90" s="3">
        <v>0.13572571247155019</v>
      </c>
      <c r="S90" s="2">
        <v>1411.971678985276</v>
      </c>
      <c r="T90" s="7">
        <v>1344.733938144687</v>
      </c>
      <c r="U90" t="s">
        <v>55</v>
      </c>
      <c r="V90" s="5">
        <v>3.9950362235486341</v>
      </c>
      <c r="W90">
        <f t="shared" si="4"/>
        <v>1722.8457739851972</v>
      </c>
      <c r="X90">
        <f t="shared" si="5"/>
        <v>0.78053065367198737</v>
      </c>
      <c r="Y90">
        <f t="shared" si="6"/>
        <v>1.396060297088245</v>
      </c>
      <c r="Z90">
        <f t="shared" si="7"/>
        <v>1.0000000000446854</v>
      </c>
    </row>
    <row r="91" spans="1:26" x14ac:dyDescent="0.25">
      <c r="A91" t="s">
        <v>39</v>
      </c>
      <c r="B91" s="9">
        <v>45909</v>
      </c>
      <c r="C91" s="2">
        <v>651.65667724609375</v>
      </c>
      <c r="D91" s="3">
        <v>8.99640143942423E-2</v>
      </c>
      <c r="E91" s="4">
        <v>0.65572384746201728</v>
      </c>
      <c r="F91" s="5">
        <v>6.557238474620173E-3</v>
      </c>
      <c r="G91" s="4">
        <v>10.4092933747137</v>
      </c>
      <c r="H91" s="5">
        <v>0.104092933747137</v>
      </c>
      <c r="I91" s="3">
        <v>0.12</v>
      </c>
      <c r="J91" s="2">
        <v>11624.630947561491</v>
      </c>
      <c r="K91" s="2">
        <v>1549950.793008198</v>
      </c>
      <c r="L91" s="6">
        <v>18.892548548990099</v>
      </c>
      <c r="M91" s="7">
        <v>1.482929101652166</v>
      </c>
      <c r="N91" s="6">
        <v>4.273068236281226</v>
      </c>
      <c r="O91" s="2">
        <v>2540.5451211873142</v>
      </c>
      <c r="P91" s="2">
        <v>338.93477256028359</v>
      </c>
      <c r="Q91" s="2">
        <v>220869.10768979491</v>
      </c>
      <c r="R91" s="3">
        <v>0.14250072240107989</v>
      </c>
      <c r="S91" s="2">
        <v>1448.29141079855</v>
      </c>
      <c r="T91" s="7">
        <v>1344.733938144687</v>
      </c>
      <c r="U91" t="s">
        <v>55</v>
      </c>
      <c r="V91" s="5">
        <v>3.9124417321691589</v>
      </c>
      <c r="W91">
        <f t="shared" si="4"/>
        <v>1755.1790856789862</v>
      </c>
      <c r="X91">
        <f t="shared" si="5"/>
        <v>0.76615198364472326</v>
      </c>
      <c r="Y91">
        <f t="shared" si="6"/>
        <v>1.4255321456336172</v>
      </c>
      <c r="Z91">
        <f t="shared" si="7"/>
        <v>1.0000000000439766</v>
      </c>
    </row>
    <row r="92" spans="1:26" x14ac:dyDescent="0.25">
      <c r="A92" t="s">
        <v>39</v>
      </c>
      <c r="B92" s="9">
        <v>45910</v>
      </c>
      <c r="C92" s="2">
        <v>653.52105712890625</v>
      </c>
      <c r="D92" s="3">
        <v>8.99640143942423E-2</v>
      </c>
      <c r="E92" s="4">
        <v>0.64282489513734609</v>
      </c>
      <c r="F92" s="5">
        <v>6.428248951373461E-3</v>
      </c>
      <c r="G92" s="4">
        <v>10.204528854567551</v>
      </c>
      <c r="H92" s="5">
        <v>0.1020452885456755</v>
      </c>
      <c r="I92" s="3">
        <v>0.12</v>
      </c>
      <c r="J92" s="2">
        <v>11686.273770181981</v>
      </c>
      <c r="K92" s="2">
        <v>1558169.8360242629</v>
      </c>
      <c r="L92" s="6">
        <v>19.40450949879078</v>
      </c>
      <c r="M92" s="7">
        <v>1.482876395843262</v>
      </c>
      <c r="N92" s="6">
        <v>4.2009960501893673</v>
      </c>
      <c r="O92" s="2">
        <v>2609.39024760749</v>
      </c>
      <c r="P92" s="2">
        <v>348.10704568152369</v>
      </c>
      <c r="Q92" s="2">
        <v>227495.2844878099</v>
      </c>
      <c r="R92" s="3">
        <v>0.14600159701992041</v>
      </c>
      <c r="S92" s="2">
        <v>1462.3963239511711</v>
      </c>
      <c r="T92" s="7">
        <v>1344.7339381446859</v>
      </c>
      <c r="U92" t="s">
        <v>55</v>
      </c>
      <c r="V92" s="5">
        <v>3.8354788466928502</v>
      </c>
      <c r="W92">
        <f t="shared" si="4"/>
        <v>1785.290895396563</v>
      </c>
      <c r="X92">
        <f t="shared" si="5"/>
        <v>0.75322959502685582</v>
      </c>
      <c r="Y92">
        <f t="shared" si="6"/>
        <v>1.4541369357139486</v>
      </c>
      <c r="Z92">
        <f t="shared" si="7"/>
        <v>1.0000000000432776</v>
      </c>
    </row>
    <row r="93" spans="1:26" x14ac:dyDescent="0.25">
      <c r="A93" t="s">
        <v>39</v>
      </c>
      <c r="B93" s="9">
        <v>45911</v>
      </c>
      <c r="C93" s="2">
        <v>658.96466064453125</v>
      </c>
      <c r="D93" s="3">
        <v>8.99640143942423E-2</v>
      </c>
      <c r="E93" s="4">
        <v>0.6481232945215365</v>
      </c>
      <c r="F93" s="5">
        <v>6.4812329452153651E-3</v>
      </c>
      <c r="G93" s="4">
        <v>10.28863833727114</v>
      </c>
      <c r="H93" s="5">
        <v>0.1028863833727114</v>
      </c>
      <c r="I93" s="3">
        <v>0.12</v>
      </c>
      <c r="J93" s="2">
        <v>11802.20132902942</v>
      </c>
      <c r="K93" s="2">
        <v>1573626.84387059</v>
      </c>
      <c r="L93" s="6">
        <v>20</v>
      </c>
      <c r="M93" s="7">
        <v>1.4828245266344999</v>
      </c>
      <c r="N93" s="6">
        <v>4.2709034683019986</v>
      </c>
      <c r="O93" s="2">
        <v>2689.4678762893732</v>
      </c>
      <c r="P93" s="2">
        <v>358.77729281775947</v>
      </c>
      <c r="Q93" s="2">
        <v>236421.55700861849</v>
      </c>
      <c r="R93" s="3">
        <v>0.1502399110243324</v>
      </c>
      <c r="S93" s="2">
        <v>1532.3031842433711</v>
      </c>
      <c r="T93" s="7">
        <v>1344.7339381446859</v>
      </c>
      <c r="U93" t="s">
        <v>55</v>
      </c>
      <c r="V93" s="5">
        <v>3.8670922750356511</v>
      </c>
      <c r="W93">
        <f t="shared" si="4"/>
        <v>1756.0687230849089</v>
      </c>
      <c r="X93">
        <f t="shared" si="5"/>
        <v>0.76576384538207265</v>
      </c>
      <c r="Y93">
        <f t="shared" si="6"/>
        <v>1.4422493854440528</v>
      </c>
      <c r="Z93">
        <f t="shared" si="7"/>
        <v>1.0000000000425908</v>
      </c>
    </row>
    <row r="94" spans="1:26" x14ac:dyDescent="0.25">
      <c r="A94" t="s">
        <v>39</v>
      </c>
      <c r="B94" s="9">
        <v>45912</v>
      </c>
      <c r="C94" s="2">
        <v>658.73529052734375</v>
      </c>
      <c r="D94" s="3">
        <v>8.99640143942423E-2</v>
      </c>
      <c r="E94" s="4">
        <v>0.63723992229152726</v>
      </c>
      <c r="F94" s="5">
        <v>6.372399222915273E-3</v>
      </c>
      <c r="G94" s="4">
        <v>10.11587015919304</v>
      </c>
      <c r="H94" s="5">
        <v>0.1011587015919304</v>
      </c>
      <c r="I94" s="3">
        <v>0.12</v>
      </c>
      <c r="J94" s="2">
        <v>11762.35050013627</v>
      </c>
      <c r="K94" s="2">
        <v>1568313.40001817</v>
      </c>
      <c r="L94" s="6">
        <v>20</v>
      </c>
      <c r="M94" s="7">
        <v>1.4827734807465121</v>
      </c>
      <c r="N94" s="6">
        <v>4.1977242534633117</v>
      </c>
      <c r="O94" s="2">
        <v>2689.4678762893732</v>
      </c>
      <c r="P94" s="2">
        <v>358.76494199349611</v>
      </c>
      <c r="Q94" s="2">
        <v>236331.12829511121</v>
      </c>
      <c r="R94" s="3">
        <v>0.15069126380758671</v>
      </c>
      <c r="S94" s="2">
        <v>1505.9962982984571</v>
      </c>
      <c r="T94" s="7">
        <v>1344.7339381446859</v>
      </c>
      <c r="U94" t="s">
        <v>55</v>
      </c>
      <c r="V94" s="5">
        <v>3.802155549210859</v>
      </c>
      <c r="W94">
        <f t="shared" si="4"/>
        <v>1786.6823895857767</v>
      </c>
      <c r="X94">
        <f t="shared" si="5"/>
        <v>0.75264296888069071</v>
      </c>
      <c r="Y94">
        <f t="shared" si="6"/>
        <v>1.4668814531491716</v>
      </c>
      <c r="Z94">
        <f t="shared" si="7"/>
        <v>1.0000000000419145</v>
      </c>
    </row>
    <row r="95" spans="1:26" x14ac:dyDescent="0.25">
      <c r="A95" t="s">
        <v>39</v>
      </c>
      <c r="B95" s="9">
        <v>45915</v>
      </c>
      <c r="C95" s="2">
        <v>662.17498779296875</v>
      </c>
      <c r="D95" s="3">
        <v>8.99640143942423E-2</v>
      </c>
      <c r="E95" s="4">
        <v>0.629153182904715</v>
      </c>
      <c r="F95" s="5">
        <v>6.2915318290471499E-3</v>
      </c>
      <c r="G95" s="4">
        <v>9.9874971511836605</v>
      </c>
      <c r="H95" s="5">
        <v>9.9874971511836608E-2</v>
      </c>
      <c r="I95" s="3">
        <v>0.12</v>
      </c>
      <c r="J95" s="2">
        <v>11895.913618921641</v>
      </c>
      <c r="K95" s="2">
        <v>1586121.815856219</v>
      </c>
      <c r="L95" s="6">
        <v>20</v>
      </c>
      <c r="M95" s="7">
        <v>1.482723245110714</v>
      </c>
      <c r="N95" s="6">
        <v>4.1660950120983706</v>
      </c>
      <c r="O95" s="2">
        <v>2689.4678762893732</v>
      </c>
      <c r="P95" s="2">
        <v>358.75278721406198</v>
      </c>
      <c r="Q95" s="2">
        <v>237557.12249416509</v>
      </c>
      <c r="R95" s="3">
        <v>0.14977230633822861</v>
      </c>
      <c r="S95" s="2">
        <v>1494.598197388892</v>
      </c>
      <c r="T95" s="7">
        <v>1344.7339381446859</v>
      </c>
      <c r="U95" t="s">
        <v>55</v>
      </c>
      <c r="V95" s="5">
        <v>3.7539052121572358</v>
      </c>
      <c r="W95">
        <f t="shared" si="4"/>
        <v>1800.2469886596309</v>
      </c>
      <c r="X95">
        <f t="shared" si="5"/>
        <v>0.74697191364052995</v>
      </c>
      <c r="Y95">
        <f t="shared" si="6"/>
        <v>1.4857358249385655</v>
      </c>
      <c r="Z95">
        <f t="shared" si="7"/>
        <v>1.0000000000412492</v>
      </c>
    </row>
    <row r="96" spans="1:26" x14ac:dyDescent="0.25">
      <c r="A96" t="s">
        <v>39</v>
      </c>
      <c r="B96" s="9">
        <v>45916</v>
      </c>
      <c r="C96" s="2">
        <v>661.29998779296875</v>
      </c>
      <c r="D96" s="3">
        <v>8.99640143942423E-2</v>
      </c>
      <c r="E96" s="4">
        <v>0.62161982640449498</v>
      </c>
      <c r="F96" s="5">
        <v>6.21619826404495E-3</v>
      </c>
      <c r="G96" s="4">
        <v>9.8679088241606152</v>
      </c>
      <c r="H96" s="5">
        <v>9.867908824160615E-2</v>
      </c>
      <c r="I96" s="3">
        <v>0.12</v>
      </c>
      <c r="J96" s="2">
        <v>11920.609287349611</v>
      </c>
      <c r="K96" s="2">
        <v>1589414.5716466149</v>
      </c>
      <c r="L96" s="6">
        <v>20</v>
      </c>
      <c r="M96" s="7">
        <v>1.4826738068659611</v>
      </c>
      <c r="N96" s="6">
        <v>4.1107718361315992</v>
      </c>
      <c r="O96" s="2">
        <v>2689.4678762893732</v>
      </c>
      <c r="P96" s="2">
        <v>358.74082536763501</v>
      </c>
      <c r="Q96" s="2">
        <v>237235.3034364566</v>
      </c>
      <c r="R96" s="3">
        <v>0.14925954981693901</v>
      </c>
      <c r="S96" s="2">
        <v>1474.7016813918781</v>
      </c>
      <c r="T96" s="7">
        <v>1344.7339381446859</v>
      </c>
      <c r="U96" t="s">
        <v>55</v>
      </c>
      <c r="V96" s="5">
        <v>3.7089566892861421</v>
      </c>
      <c r="W96">
        <f t="shared" si="4"/>
        <v>1824.4748915711655</v>
      </c>
      <c r="X96">
        <f t="shared" si="5"/>
        <v>0.73705258666873419</v>
      </c>
      <c r="Y96">
        <f t="shared" si="6"/>
        <v>1.5037413279147969</v>
      </c>
      <c r="Z96">
        <f t="shared" si="7"/>
        <v>1.0000000000405942</v>
      </c>
    </row>
    <row r="97" spans="1:26" x14ac:dyDescent="0.25">
      <c r="A97" t="s">
        <v>39</v>
      </c>
      <c r="B97" s="9">
        <v>45917</v>
      </c>
      <c r="C97" s="2">
        <v>660.57000732421875</v>
      </c>
      <c r="D97" s="3">
        <v>8.99640143942423E-2</v>
      </c>
      <c r="E97" s="4">
        <v>0.61325093135634745</v>
      </c>
      <c r="F97" s="5">
        <v>6.1325093135634742E-3</v>
      </c>
      <c r="G97" s="4">
        <v>9.7350567338858252</v>
      </c>
      <c r="H97" s="5">
        <v>9.7350567338858246E-2</v>
      </c>
      <c r="I97" s="3">
        <v>0.12</v>
      </c>
      <c r="J97" s="2">
        <v>11867.04708029137</v>
      </c>
      <c r="K97" s="2">
        <v>1582272.9440388491</v>
      </c>
      <c r="L97" s="6">
        <v>19.735448544339611</v>
      </c>
      <c r="M97" s="7">
        <v>1.4826251533552519</v>
      </c>
      <c r="N97" s="6">
        <v>4.0509517221764639</v>
      </c>
      <c r="O97" s="2">
        <v>2653.8927442081622</v>
      </c>
      <c r="P97" s="2">
        <v>353.98393872866262</v>
      </c>
      <c r="Q97" s="2">
        <v>233831.17299864849</v>
      </c>
      <c r="R97" s="3">
        <v>0.14778181847803071</v>
      </c>
      <c r="S97" s="2">
        <v>1433.9718462156841</v>
      </c>
      <c r="T97" s="7">
        <v>1344.7339381446859</v>
      </c>
      <c r="U97" t="s">
        <v>55</v>
      </c>
      <c r="V97" s="5">
        <v>3.6590228423393709</v>
      </c>
      <c r="W97">
        <f t="shared" ref="W97:W101" si="8">(1000000*I97/16)/(C97*F97)</f>
        <v>1851.4167816274191</v>
      </c>
      <c r="X97">
        <f t="shared" ref="X97:X101" si="9">T97/W97</f>
        <v>0.72632696834618049</v>
      </c>
      <c r="Y97">
        <f t="shared" si="6"/>
        <v>1.5242625415149897</v>
      </c>
      <c r="Z97">
        <f t="shared" si="7"/>
        <v>1.0000000000399498</v>
      </c>
    </row>
    <row r="98" spans="1:26" x14ac:dyDescent="0.25">
      <c r="A98" t="s">
        <v>39</v>
      </c>
      <c r="B98" s="9">
        <v>45918</v>
      </c>
      <c r="C98" s="2">
        <v>663.70001220703125</v>
      </c>
      <c r="D98" s="3">
        <v>8.99640143942423E-2</v>
      </c>
      <c r="E98" s="4">
        <v>0.6054309852641262</v>
      </c>
      <c r="F98" s="5">
        <v>6.0543098526412622E-3</v>
      </c>
      <c r="G98" s="4">
        <v>9.6109189381301334</v>
      </c>
      <c r="H98" s="5">
        <v>9.6109189381301335E-2</v>
      </c>
      <c r="I98" s="3">
        <v>0.12</v>
      </c>
      <c r="J98" s="2">
        <v>11809.225177314151</v>
      </c>
      <c r="K98" s="2">
        <v>1574563.3569752211</v>
      </c>
      <c r="L98" s="6">
        <v>20</v>
      </c>
      <c r="M98" s="7">
        <v>1.4825772721224899</v>
      </c>
      <c r="N98" s="6">
        <v>4.0182455231031549</v>
      </c>
      <c r="O98" s="2">
        <v>2689.4678762893732</v>
      </c>
      <c r="P98" s="2">
        <v>358.71746827269669</v>
      </c>
      <c r="Q98" s="2">
        <v>238080.78807146419</v>
      </c>
      <c r="R98" s="3">
        <v>0.15120432405389131</v>
      </c>
      <c r="S98" s="2">
        <v>1441.414860945662</v>
      </c>
      <c r="T98" s="7">
        <v>1344.7339381446859</v>
      </c>
      <c r="U98" t="s">
        <v>55</v>
      </c>
      <c r="V98" s="5">
        <v>3.612364354085607</v>
      </c>
      <c r="W98">
        <f t="shared" si="8"/>
        <v>1866.4862455214045</v>
      </c>
      <c r="X98">
        <f t="shared" si="9"/>
        <v>0.72046281689530123</v>
      </c>
      <c r="Y98">
        <f t="shared" si="6"/>
        <v>1.5439504187382531</v>
      </c>
      <c r="Z98">
        <f t="shared" si="7"/>
        <v>1.0000000000393157</v>
      </c>
    </row>
    <row r="99" spans="1:26" x14ac:dyDescent="0.25">
      <c r="A99" t="s">
        <v>39</v>
      </c>
      <c r="B99" s="9">
        <v>45919</v>
      </c>
      <c r="C99" s="2">
        <v>666.8699951171875</v>
      </c>
      <c r="D99" s="3">
        <v>8.99640143942423E-2</v>
      </c>
      <c r="E99" s="4">
        <v>0.59762660154681457</v>
      </c>
      <c r="F99" s="5">
        <v>5.9762660154681459E-3</v>
      </c>
      <c r="G99" s="4">
        <v>9.4870281874173621</v>
      </c>
      <c r="H99" s="5">
        <v>9.4870281874173623E-2</v>
      </c>
      <c r="I99" s="3">
        <v>0.12</v>
      </c>
      <c r="J99" s="2">
        <v>11809.881829059181</v>
      </c>
      <c r="K99" s="2">
        <v>1574650.9105412229</v>
      </c>
      <c r="L99" s="6">
        <v>20</v>
      </c>
      <c r="M99" s="7">
        <v>1.4825301509092961</v>
      </c>
      <c r="N99" s="6">
        <v>3.9853924885542562</v>
      </c>
      <c r="O99" s="2">
        <v>2689.4678762893732</v>
      </c>
      <c r="P99" s="2">
        <v>358.70606704438649</v>
      </c>
      <c r="Q99" s="2">
        <v>239210.31317839559</v>
      </c>
      <c r="R99" s="3">
        <v>0.15191323459507389</v>
      </c>
      <c r="S99" s="2">
        <v>1429.5844651975369</v>
      </c>
      <c r="T99" s="7">
        <v>1344.7339381446859</v>
      </c>
      <c r="U99" t="s">
        <v>55</v>
      </c>
      <c r="V99" s="5">
        <v>3.5657987202937989</v>
      </c>
      <c r="W99">
        <f t="shared" si="8"/>
        <v>1881.8723680388894</v>
      </c>
      <c r="X99">
        <f t="shared" si="9"/>
        <v>0.71457233815810861</v>
      </c>
      <c r="Y99">
        <f t="shared" si="6"/>
        <v>1.5641128102334607</v>
      </c>
      <c r="Z99">
        <f t="shared" si="7"/>
        <v>1.0000000000386919</v>
      </c>
    </row>
    <row r="100" spans="1:26" x14ac:dyDescent="0.25">
      <c r="A100" t="s">
        <v>39</v>
      </c>
      <c r="B100" s="9">
        <v>45922</v>
      </c>
      <c r="C100" s="2">
        <v>670.08001708984375</v>
      </c>
      <c r="D100" s="3">
        <v>8.99640143942423E-2</v>
      </c>
      <c r="E100" s="4">
        <v>0.58985931383579604</v>
      </c>
      <c r="F100" s="5">
        <v>5.8985931383579602E-3</v>
      </c>
      <c r="G100" s="4">
        <v>9.3637263175483039</v>
      </c>
      <c r="H100" s="5">
        <v>9.3637263175483043E-2</v>
      </c>
      <c r="I100" s="3">
        <v>0.12</v>
      </c>
      <c r="J100" s="2">
        <v>11896.989331386671</v>
      </c>
      <c r="K100" s="2">
        <v>1586265.2441848889</v>
      </c>
      <c r="L100" s="6">
        <v>20</v>
      </c>
      <c r="M100" s="7">
        <v>1.4824837776518669</v>
      </c>
      <c r="N100" s="6">
        <v>3.9525293909569368</v>
      </c>
      <c r="O100" s="2">
        <v>2689.4678762893732</v>
      </c>
      <c r="P100" s="2">
        <v>358.69484678795408</v>
      </c>
      <c r="Q100" s="2">
        <v>240354.24906571119</v>
      </c>
      <c r="R100" s="3">
        <v>0.1515221051125144</v>
      </c>
      <c r="S100" s="2">
        <v>1417.751924314184</v>
      </c>
      <c r="T100" s="7">
        <v>1344.7339381446859</v>
      </c>
      <c r="U100" t="s">
        <v>55</v>
      </c>
      <c r="V100" s="5">
        <v>3.5194544235231771</v>
      </c>
      <c r="W100">
        <f t="shared" si="8"/>
        <v>1897.5190967989724</v>
      </c>
      <c r="X100">
        <f t="shared" si="9"/>
        <v>0.70868005513788523</v>
      </c>
      <c r="Y100">
        <f t="shared" si="6"/>
        <v>1.5847091014585155</v>
      </c>
      <c r="Z100">
        <f t="shared" si="7"/>
        <v>1.0000000000380778</v>
      </c>
    </row>
    <row r="101" spans="1:26" x14ac:dyDescent="0.25">
      <c r="A101" t="s">
        <v>39</v>
      </c>
      <c r="B101" s="9">
        <v>45923</v>
      </c>
      <c r="C101" s="2">
        <v>666.5</v>
      </c>
      <c r="D101" s="3">
        <v>8.99640143942423E-2</v>
      </c>
      <c r="E101" s="4">
        <v>0.60531356121365809</v>
      </c>
      <c r="F101" s="5">
        <v>6.0531356121365813E-3</v>
      </c>
      <c r="G101" s="4">
        <v>9.6090548891172745</v>
      </c>
      <c r="H101" s="5">
        <v>9.6090548891172745E-2</v>
      </c>
      <c r="I101" s="3">
        <v>0.12</v>
      </c>
      <c r="J101" s="2">
        <v>11912.28457012195</v>
      </c>
      <c r="K101" s="2">
        <v>1588304.6093495931</v>
      </c>
      <c r="L101" s="6">
        <v>19.460848851097129</v>
      </c>
      <c r="M101" s="7">
        <v>1.482438140477889</v>
      </c>
      <c r="N101" s="6">
        <v>4.0344148854890314</v>
      </c>
      <c r="O101" s="2">
        <v>2616.9663915174342</v>
      </c>
      <c r="P101" s="2">
        <v>349.01456536285201</v>
      </c>
      <c r="Q101" s="2">
        <v>232618.20781434089</v>
      </c>
      <c r="R101" s="3">
        <v>0.14645692422286519</v>
      </c>
      <c r="S101" s="2">
        <v>1408.069557752375</v>
      </c>
      <c r="T101" s="7">
        <v>1344.7339381446859</v>
      </c>
      <c r="U101" t="s">
        <v>55</v>
      </c>
      <c r="V101" s="5">
        <v>3.6116637317776181</v>
      </c>
      <c r="W101">
        <f t="shared" si="8"/>
        <v>1859.0056334999092</v>
      </c>
      <c r="X101">
        <f t="shared" si="9"/>
        <v>0.72336194894309425</v>
      </c>
      <c r="Y101">
        <f t="shared" si="6"/>
        <v>1.5442499278249597</v>
      </c>
      <c r="Z101">
        <f t="shared" si="7"/>
        <v>1.0000000000374731</v>
      </c>
    </row>
  </sheetData>
  <autoFilter ref="A1:Z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1"/>
  <sheetViews>
    <sheetView topLeftCell="G1" workbookViewId="0">
      <selection activeCell="K11" sqref="K11"/>
    </sheetView>
  </sheetViews>
  <sheetFormatPr defaultRowHeight="15" x14ac:dyDescent="0.25"/>
  <cols>
    <col min="1" max="1" width="12.7109375" customWidth="1"/>
    <col min="2" max="2" width="12.7109375" style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1" width="15.7109375" style="2" customWidth="1"/>
    <col min="12" max="12" width="15.7109375" style="6" customWidth="1"/>
    <col min="13" max="13" width="12.7109375" style="7" customWidth="1"/>
    <col min="14" max="14" width="15.7109375" style="6" customWidth="1"/>
    <col min="15" max="17" width="15.7109375" style="2" customWidth="1"/>
    <col min="18" max="18" width="15.7109375" style="3" customWidth="1"/>
    <col min="19" max="19" width="15.7109375" style="2" customWidth="1"/>
    <col min="20" max="20" width="20.7109375" style="7" customWidth="1"/>
    <col min="21" max="21" width="20.7109375" customWidth="1"/>
    <col min="22" max="22" width="15.7109375" style="5" customWidth="1"/>
    <col min="23" max="24" width="15.85546875" customWidth="1"/>
  </cols>
  <sheetData>
    <row r="1" spans="1:25" s="11" customFormat="1" ht="90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78</v>
      </c>
      <c r="X1" s="10" t="s">
        <v>79</v>
      </c>
    </row>
    <row r="2" spans="1:25" x14ac:dyDescent="0.25">
      <c r="A2" t="s">
        <v>32</v>
      </c>
      <c r="B2" s="9">
        <v>45784</v>
      </c>
      <c r="C2" s="2">
        <v>49.516536712646477</v>
      </c>
      <c r="D2" s="3">
        <v>7.297081167532987E-3</v>
      </c>
      <c r="E2" s="4">
        <v>0.55969815467112283</v>
      </c>
      <c r="F2" s="5">
        <v>5.5969815467112284E-3</v>
      </c>
      <c r="G2" s="4">
        <v>8.884932759129331</v>
      </c>
      <c r="H2" s="5">
        <v>8.8849327591293312E-2</v>
      </c>
      <c r="I2" s="3">
        <v>0.12</v>
      </c>
      <c r="J2" s="2">
        <v>11020.397209917281</v>
      </c>
      <c r="K2" s="2">
        <v>1469386.2946556369</v>
      </c>
      <c r="L2" s="6">
        <v>6.3945425444668018</v>
      </c>
      <c r="M2" s="7">
        <v>1.493401281015603</v>
      </c>
      <c r="N2" s="6">
        <v>0.2771431422377314</v>
      </c>
      <c r="O2" s="2">
        <v>17108.453511206779</v>
      </c>
      <c r="P2" s="2">
        <v>186.4388650656764</v>
      </c>
      <c r="Q2" s="2">
        <v>9231.8069066887092</v>
      </c>
      <c r="R2" s="3">
        <v>6.2827637226957108E-3</v>
      </c>
      <c r="S2" s="2">
        <v>51.670252899537971</v>
      </c>
      <c r="T2" s="7">
        <v>26754.773140122001</v>
      </c>
      <c r="U2" t="s">
        <v>55</v>
      </c>
      <c r="V2" s="5">
        <v>0.28032381215570268</v>
      </c>
      <c r="W2">
        <f>(1000000*I2/16)/(C2*F2)</f>
        <v>27061.827831794424</v>
      </c>
      <c r="X2">
        <f>T2/W2</f>
        <v>0.98865358638814227</v>
      </c>
      <c r="Y2">
        <f>(1000000*I2/16)/(V2)/T2</f>
        <v>1.0000000000000002</v>
      </c>
    </row>
    <row r="3" spans="1:25" x14ac:dyDescent="0.25">
      <c r="A3" t="s">
        <v>32</v>
      </c>
      <c r="B3" s="9">
        <v>45785</v>
      </c>
      <c r="C3" s="2">
        <v>49.280136108398438</v>
      </c>
      <c r="D3" s="3">
        <v>7.297081167532987E-3</v>
      </c>
      <c r="E3" s="4">
        <v>0.55796184745434274</v>
      </c>
      <c r="F3" s="5">
        <v>5.5796184745434277E-3</v>
      </c>
      <c r="G3" s="4">
        <v>8.8573697365580912</v>
      </c>
      <c r="H3" s="5">
        <v>8.8573697365580906E-2</v>
      </c>
      <c r="I3" s="3">
        <v>0.12</v>
      </c>
      <c r="J3" s="2">
        <v>10960.987644774281</v>
      </c>
      <c r="K3" s="2">
        <v>1461465.0193032371</v>
      </c>
      <c r="L3" s="6">
        <v>-0.44039215586026881</v>
      </c>
      <c r="M3" s="7">
        <v>1.4931823501374391</v>
      </c>
      <c r="N3" s="6">
        <v>0.27496435785843459</v>
      </c>
      <c r="O3" s="2">
        <v>-1187.595677155927</v>
      </c>
      <c r="P3" s="2">
        <v>-12.939891441965869</v>
      </c>
      <c r="Q3" s="2">
        <v>637.67961148797838</v>
      </c>
      <c r="R3" s="3">
        <v>4.363290281090657E-4</v>
      </c>
      <c r="S3" s="2">
        <v>3.558008941098</v>
      </c>
      <c r="T3" s="7">
        <v>26966.776345869741</v>
      </c>
      <c r="U3" t="s">
        <v>55</v>
      </c>
      <c r="V3" s="5">
        <v>0.27812000603285708</v>
      </c>
      <c r="W3">
        <f t="shared" ref="W3:W32" si="0">(1000000*I3/16)/(C3*F3)</f>
        <v>27276.26248876</v>
      </c>
      <c r="X3">
        <f t="shared" ref="X3:X32" si="1">T3/W3</f>
        <v>0.9886536455272128</v>
      </c>
      <c r="Y3">
        <f t="shared" ref="Y3:Y66" si="2">(1000000*I3/16)/(V3)/T3</f>
        <v>1</v>
      </c>
    </row>
    <row r="4" spans="1:25" x14ac:dyDescent="0.25">
      <c r="A4" t="s">
        <v>32</v>
      </c>
      <c r="B4" s="9">
        <v>45786</v>
      </c>
      <c r="C4" s="2">
        <v>49.280136108398438</v>
      </c>
      <c r="D4" s="3">
        <v>7.297081167532987E-3</v>
      </c>
      <c r="E4" s="4">
        <v>0.54513961804998934</v>
      </c>
      <c r="F4" s="5">
        <v>5.4513961804998944E-3</v>
      </c>
      <c r="G4" s="4">
        <v>8.6538231550140576</v>
      </c>
      <c r="H4" s="5">
        <v>8.6538231550140579E-2</v>
      </c>
      <c r="I4" s="3">
        <v>0.12</v>
      </c>
      <c r="J4" s="2">
        <v>10993.164043182191</v>
      </c>
      <c r="K4" s="2">
        <v>1465755.2057576249</v>
      </c>
      <c r="L4" s="6">
        <v>-2.8750824966598589</v>
      </c>
      <c r="M4" s="7">
        <v>1.4929668943525789</v>
      </c>
      <c r="N4" s="6">
        <v>0.26864554575583821</v>
      </c>
      <c r="O4" s="2">
        <v>-7935.5329999524447</v>
      </c>
      <c r="P4" s="2">
        <v>-86.452081975099745</v>
      </c>
      <c r="Q4" s="2">
        <v>4260.3703665873354</v>
      </c>
      <c r="R4" s="3">
        <v>2.9066042882550901E-3</v>
      </c>
      <c r="S4" s="2">
        <v>23.22496674392913</v>
      </c>
      <c r="T4" s="7">
        <v>27601.06191447232</v>
      </c>
      <c r="U4" t="s">
        <v>55</v>
      </c>
      <c r="V4" s="5">
        <v>0.27172867562995662</v>
      </c>
      <c r="W4">
        <f t="shared" si="0"/>
        <v>27917.827481183955</v>
      </c>
      <c r="X4">
        <f t="shared" si="1"/>
        <v>0.9886536455272128</v>
      </c>
      <c r="Y4">
        <f t="shared" si="2"/>
        <v>1.0000000000000002</v>
      </c>
    </row>
    <row r="5" spans="1:25" x14ac:dyDescent="0.25">
      <c r="A5" t="s">
        <v>32</v>
      </c>
      <c r="B5" s="9">
        <v>45789</v>
      </c>
      <c r="C5" s="2">
        <v>49.250587463378913</v>
      </c>
      <c r="D5" s="3">
        <v>7.297081167532987E-3</v>
      </c>
      <c r="E5" s="4">
        <v>0.5332003435937176</v>
      </c>
      <c r="F5" s="5">
        <v>5.3320034359371762E-3</v>
      </c>
      <c r="G5" s="4">
        <v>8.4642930487390107</v>
      </c>
      <c r="H5" s="5">
        <v>8.4642930487390106E-2</v>
      </c>
      <c r="I5" s="3">
        <v>0.12</v>
      </c>
      <c r="J5" s="2">
        <v>10993.064445708789</v>
      </c>
      <c r="K5" s="2">
        <v>1465741.926094505</v>
      </c>
      <c r="L5" s="6">
        <v>-4.7205960665037514</v>
      </c>
      <c r="M5" s="7">
        <v>1.4927548585008119</v>
      </c>
      <c r="N5" s="6">
        <v>0.26260430157666081</v>
      </c>
      <c r="O5" s="2">
        <v>-13329.0882484009</v>
      </c>
      <c r="P5" s="2">
        <v>-145.19047085432999</v>
      </c>
      <c r="Q5" s="2">
        <v>7150.715983660345</v>
      </c>
      <c r="R5" s="3">
        <v>4.8785641294395877E-3</v>
      </c>
      <c r="S5" s="2">
        <v>38.127642194287837</v>
      </c>
      <c r="T5" s="7">
        <v>28236.027952022851</v>
      </c>
      <c r="U5" t="s">
        <v>55</v>
      </c>
      <c r="V5" s="5">
        <v>0.26561809659430852</v>
      </c>
      <c r="W5">
        <f t="shared" si="0"/>
        <v>28560.080527890983</v>
      </c>
      <c r="X5">
        <f t="shared" si="1"/>
        <v>0.9886536532853375</v>
      </c>
      <c r="Y5">
        <f t="shared" si="2"/>
        <v>0.99999999999999989</v>
      </c>
    </row>
    <row r="6" spans="1:25" x14ac:dyDescent="0.25">
      <c r="A6" t="s">
        <v>32</v>
      </c>
      <c r="B6" s="9">
        <v>45790</v>
      </c>
      <c r="C6" s="2">
        <v>49.349086761474609</v>
      </c>
      <c r="D6" s="3">
        <v>7.297081167532987E-3</v>
      </c>
      <c r="E6" s="4">
        <v>0.52149941881051654</v>
      </c>
      <c r="F6" s="5">
        <v>5.2149941881051657E-3</v>
      </c>
      <c r="G6" s="4">
        <v>8.2785466262240774</v>
      </c>
      <c r="H6" s="5">
        <v>8.2785466262240773E-2</v>
      </c>
      <c r="I6" s="3">
        <v>0.12</v>
      </c>
      <c r="J6" s="2">
        <v>11016.1596022789</v>
      </c>
      <c r="K6" s="2">
        <v>1468821.2803038531</v>
      </c>
      <c r="L6" s="6">
        <v>-2.249736294916755</v>
      </c>
      <c r="M6" s="7">
        <v>1.492546188297486</v>
      </c>
      <c r="N6" s="6">
        <v>0.25735520064938772</v>
      </c>
      <c r="O6" s="2">
        <v>-6481.9262107728919</v>
      </c>
      <c r="P6" s="2">
        <v>-70.596153615069298</v>
      </c>
      <c r="Q6" s="2">
        <v>3483.8557097764442</v>
      </c>
      <c r="R6" s="3">
        <v>2.3718717562804812E-3</v>
      </c>
      <c r="S6" s="2">
        <v>18.168287278681149</v>
      </c>
      <c r="T6" s="7">
        <v>28811.937760966499</v>
      </c>
      <c r="U6" t="s">
        <v>55</v>
      </c>
      <c r="V6" s="5">
        <v>0.26030876722775531</v>
      </c>
      <c r="W6">
        <f t="shared" si="0"/>
        <v>29142.601280545932</v>
      </c>
      <c r="X6">
        <f t="shared" si="1"/>
        <v>0.98865360314282691</v>
      </c>
      <c r="Y6">
        <f t="shared" si="2"/>
        <v>0.99999999999999978</v>
      </c>
    </row>
    <row r="7" spans="1:25" x14ac:dyDescent="0.25">
      <c r="A7" t="s">
        <v>32</v>
      </c>
      <c r="B7" s="9">
        <v>45791</v>
      </c>
      <c r="C7" s="2">
        <v>49.073284149169922</v>
      </c>
      <c r="D7" s="3">
        <v>7.297081167532987E-3</v>
      </c>
      <c r="E7" s="4">
        <v>0.5242242024588426</v>
      </c>
      <c r="F7" s="5">
        <v>5.2422420245884262E-3</v>
      </c>
      <c r="G7" s="4">
        <v>8.3218012256836342</v>
      </c>
      <c r="H7" s="5">
        <v>8.3218012256836338E-2</v>
      </c>
      <c r="I7" s="3">
        <v>0.12</v>
      </c>
      <c r="J7" s="2">
        <v>10995.53825334889</v>
      </c>
      <c r="K7" s="2">
        <v>1466071.767113185</v>
      </c>
      <c r="L7" s="6">
        <v>-5.604322995091672</v>
      </c>
      <c r="M7" s="7">
        <v>1.4923408303196091</v>
      </c>
      <c r="N7" s="6">
        <v>0.25725403245134759</v>
      </c>
      <c r="O7" s="2">
        <v>-16153.490885985049</v>
      </c>
      <c r="P7" s="2">
        <v>-175.9071893044665</v>
      </c>
      <c r="Q7" s="2">
        <v>8632.343484619907</v>
      </c>
      <c r="R7" s="3">
        <v>5.8880770220530853E-3</v>
      </c>
      <c r="S7" s="2">
        <v>45.252833785756572</v>
      </c>
      <c r="T7" s="7">
        <v>28823.2689303105</v>
      </c>
      <c r="U7" t="s">
        <v>55</v>
      </c>
      <c r="V7" s="5">
        <v>0.26020643314724828</v>
      </c>
      <c r="W7">
        <f t="shared" si="0"/>
        <v>29154.061953988665</v>
      </c>
      <c r="X7">
        <f t="shared" si="1"/>
        <v>0.98865362143360236</v>
      </c>
      <c r="Y7">
        <f t="shared" si="2"/>
        <v>1.0000000000000002</v>
      </c>
    </row>
    <row r="8" spans="1:25" x14ac:dyDescent="0.25">
      <c r="A8" t="s">
        <v>32</v>
      </c>
      <c r="B8" s="9">
        <v>45792</v>
      </c>
      <c r="C8" s="2">
        <v>49.181636810302727</v>
      </c>
      <c r="D8" s="3">
        <v>7.297081167532987E-3</v>
      </c>
      <c r="E8" s="4">
        <v>0.51345847295301472</v>
      </c>
      <c r="F8" s="5">
        <v>5.1345847295301474E-3</v>
      </c>
      <c r="G8" s="4">
        <v>8.1509005679559685</v>
      </c>
      <c r="H8" s="5">
        <v>8.1509005679559682E-2</v>
      </c>
      <c r="I8" s="3">
        <v>0.12</v>
      </c>
      <c r="J8" s="2">
        <v>11030.70134834174</v>
      </c>
      <c r="K8" s="2">
        <v>1470760.1797788991</v>
      </c>
      <c r="L8" s="6">
        <v>-4.6047065815853898</v>
      </c>
      <c r="M8" s="7">
        <v>1.4921387319921751</v>
      </c>
      <c r="N8" s="6">
        <v>0.25252728133947822</v>
      </c>
      <c r="O8" s="2">
        <v>-13520.697071306729</v>
      </c>
      <c r="P8" s="2">
        <v>-147.21683046387199</v>
      </c>
      <c r="Q8" s="2">
        <v>7240.3646882380644</v>
      </c>
      <c r="R8" s="3">
        <v>4.9228723946867486E-3</v>
      </c>
      <c r="S8" s="2">
        <v>37.176265964456469</v>
      </c>
      <c r="T8" s="7">
        <v>29362.77661073377</v>
      </c>
      <c r="U8" t="s">
        <v>55</v>
      </c>
      <c r="V8" s="5">
        <v>0.25542543538809348</v>
      </c>
      <c r="W8">
        <f t="shared" si="0"/>
        <v>29699.76138901832</v>
      </c>
      <c r="X8">
        <f t="shared" si="1"/>
        <v>0.98865362001160206</v>
      </c>
      <c r="Y8">
        <f t="shared" si="2"/>
        <v>0.99999999999999989</v>
      </c>
    </row>
    <row r="9" spans="1:25" x14ac:dyDescent="0.25">
      <c r="A9" t="s">
        <v>32</v>
      </c>
      <c r="B9" s="9">
        <v>45793</v>
      </c>
      <c r="C9" s="2">
        <v>49.181636810302727</v>
      </c>
      <c r="D9" s="3">
        <v>7.297081167532987E-3</v>
      </c>
      <c r="E9" s="4">
        <v>0.50212758484839859</v>
      </c>
      <c r="F9" s="5">
        <v>5.0212758484839857E-3</v>
      </c>
      <c r="G9" s="4">
        <v>7.9710282956060823</v>
      </c>
      <c r="H9" s="5">
        <v>7.9710282956060821E-2</v>
      </c>
      <c r="I9" s="3">
        <v>0.12</v>
      </c>
      <c r="J9" s="2">
        <v>11040.4182039924</v>
      </c>
      <c r="K9" s="2">
        <v>1472055.76053232</v>
      </c>
      <c r="L9" s="6">
        <v>-4.3377140137396548</v>
      </c>
      <c r="M9" s="7">
        <v>1.4919398415747001</v>
      </c>
      <c r="N9" s="6">
        <v>0.2469545651044841</v>
      </c>
      <c r="O9" s="2">
        <v>-13024.14675077279</v>
      </c>
      <c r="P9" s="2">
        <v>-141.79136054456879</v>
      </c>
      <c r="Q9" s="2">
        <v>6973.5311971416722</v>
      </c>
      <c r="R9" s="3">
        <v>4.737273807223121E-3</v>
      </c>
      <c r="S9" s="2">
        <v>35.016023778857097</v>
      </c>
      <c r="T9" s="7">
        <v>30025.36983655209</v>
      </c>
      <c r="U9" t="s">
        <v>55</v>
      </c>
      <c r="V9" s="5">
        <v>0.24978876333005889</v>
      </c>
      <c r="W9">
        <f t="shared" si="0"/>
        <v>30369.95893081314</v>
      </c>
      <c r="X9">
        <f t="shared" si="1"/>
        <v>0.98865362001160195</v>
      </c>
      <c r="Y9">
        <f t="shared" si="2"/>
        <v>1.0000000000000002</v>
      </c>
    </row>
    <row r="10" spans="1:25" x14ac:dyDescent="0.25">
      <c r="A10" t="s">
        <v>32</v>
      </c>
      <c r="B10" s="9">
        <v>45796</v>
      </c>
      <c r="C10" s="2">
        <v>49.171779632568359</v>
      </c>
      <c r="D10" s="3">
        <v>7.297081167532987E-3</v>
      </c>
      <c r="E10" s="4">
        <v>0.49125833955641252</v>
      </c>
      <c r="F10" s="5">
        <v>4.9125833955641247E-3</v>
      </c>
      <c r="G10" s="4">
        <v>7.798484375716753</v>
      </c>
      <c r="H10" s="5">
        <v>7.7984843757167535E-2</v>
      </c>
      <c r="I10" s="3">
        <v>0.12</v>
      </c>
      <c r="J10" s="2">
        <v>11070.868354496981</v>
      </c>
      <c r="K10" s="2">
        <v>1476115.7805995969</v>
      </c>
      <c r="L10" s="6">
        <v>-4.5109444285047697</v>
      </c>
      <c r="M10" s="7">
        <v>1.491744108147979</v>
      </c>
      <c r="N10" s="6">
        <v>0.24156046815329349</v>
      </c>
      <c r="O10" s="2">
        <v>-13846.72339635464</v>
      </c>
      <c r="P10" s="2">
        <v>-150.72681596814471</v>
      </c>
      <c r="Q10" s="2">
        <v>7411.5057795042976</v>
      </c>
      <c r="R10" s="3">
        <v>5.020951524882248E-3</v>
      </c>
      <c r="S10" s="2">
        <v>36.40964022852036</v>
      </c>
      <c r="T10" s="7">
        <v>30695.841227519559</v>
      </c>
      <c r="U10" t="s">
        <v>55</v>
      </c>
      <c r="V10" s="5">
        <v>0.24433277278213411</v>
      </c>
      <c r="W10">
        <f t="shared" si="0"/>
        <v>31048.126613335269</v>
      </c>
      <c r="X10">
        <f t="shared" si="1"/>
        <v>0.98865357030383916</v>
      </c>
      <c r="Y10">
        <f t="shared" si="2"/>
        <v>0.99999999999999989</v>
      </c>
    </row>
    <row r="11" spans="1:25" x14ac:dyDescent="0.25">
      <c r="A11" t="s">
        <v>32</v>
      </c>
      <c r="B11" s="9">
        <v>45797</v>
      </c>
      <c r="C11" s="2">
        <v>49.024036407470703</v>
      </c>
      <c r="D11" s="3">
        <v>7.297081167532987E-3</v>
      </c>
      <c r="E11" s="4">
        <v>0.48535598170235228</v>
      </c>
      <c r="F11" s="5">
        <v>4.853559817023523E-3</v>
      </c>
      <c r="G11" s="4">
        <v>7.7047873495322401</v>
      </c>
      <c r="H11" s="5">
        <v>7.7047873495322397E-2</v>
      </c>
      <c r="I11" s="3">
        <v>0.12</v>
      </c>
      <c r="J11" s="2">
        <v>11083.971722534499</v>
      </c>
      <c r="K11" s="2">
        <v>1477862.8963379329</v>
      </c>
      <c r="L11" s="6">
        <v>-7.0744441690892534</v>
      </c>
      <c r="M11" s="7">
        <v>1.491551481601046</v>
      </c>
      <c r="N11" s="6">
        <v>0.237941093175598</v>
      </c>
      <c r="O11" s="2">
        <v>-22045.92491093362</v>
      </c>
      <c r="P11" s="2">
        <v>-239.9472344066979</v>
      </c>
      <c r="Q11" s="2">
        <v>11763.181955425869</v>
      </c>
      <c r="R11" s="3">
        <v>7.95958947516337E-3</v>
      </c>
      <c r="S11" s="2">
        <v>57.093307259191171</v>
      </c>
      <c r="T11" s="7">
        <v>31162.76612551423</v>
      </c>
      <c r="U11" t="s">
        <v>55</v>
      </c>
      <c r="V11" s="5">
        <v>0.24067183156309871</v>
      </c>
      <c r="W11">
        <f t="shared" si="0"/>
        <v>31520.406584267806</v>
      </c>
      <c r="X11">
        <f t="shared" si="1"/>
        <v>0.98865368510404694</v>
      </c>
      <c r="Y11">
        <f t="shared" si="2"/>
        <v>1.0000000000000002</v>
      </c>
    </row>
    <row r="12" spans="1:25" x14ac:dyDescent="0.25">
      <c r="A12" t="s">
        <v>32</v>
      </c>
      <c r="B12" s="9">
        <v>45798</v>
      </c>
      <c r="C12" s="2">
        <v>48.787628173828118</v>
      </c>
      <c r="D12" s="3">
        <v>7.297081167532987E-3</v>
      </c>
      <c r="E12" s="4">
        <v>0.48530635627490892</v>
      </c>
      <c r="F12" s="5">
        <v>4.853063562749089E-3</v>
      </c>
      <c r="G12" s="4">
        <v>7.7039995702939166</v>
      </c>
      <c r="H12" s="5">
        <v>7.7039995702939179E-2</v>
      </c>
      <c r="I12" s="3">
        <v>0.12</v>
      </c>
      <c r="J12" s="2">
        <v>11024.08524507603</v>
      </c>
      <c r="K12" s="2">
        <v>1469878.0326768041</v>
      </c>
      <c r="L12" s="6">
        <v>-8.874874774728676</v>
      </c>
      <c r="M12" s="7">
        <v>1.491361912618351</v>
      </c>
      <c r="N12" s="6">
        <v>0.23676946060335621</v>
      </c>
      <c r="O12" s="2">
        <v>-27793.4180916076</v>
      </c>
      <c r="P12" s="2">
        <v>-302.46434390743508</v>
      </c>
      <c r="Q12" s="2">
        <v>14756.51794639682</v>
      </c>
      <c r="R12" s="3">
        <v>1.003928055140986E-2</v>
      </c>
      <c r="S12" s="2">
        <v>71.614319558711415</v>
      </c>
      <c r="T12" s="7">
        <v>31316.969306146981</v>
      </c>
      <c r="U12" t="s">
        <v>55</v>
      </c>
      <c r="V12" s="5">
        <v>0.23948677557786149</v>
      </c>
      <c r="W12">
        <f t="shared" si="0"/>
        <v>31676.382506797374</v>
      </c>
      <c r="X12">
        <f t="shared" si="1"/>
        <v>0.9886535907131041</v>
      </c>
      <c r="Y12">
        <f t="shared" si="2"/>
        <v>1.0000000000000002</v>
      </c>
    </row>
    <row r="13" spans="1:25" x14ac:dyDescent="0.25">
      <c r="A13" t="s">
        <v>32</v>
      </c>
      <c r="B13" s="9">
        <v>45799</v>
      </c>
      <c r="C13" s="2">
        <v>48.807331085205078</v>
      </c>
      <c r="D13" s="3">
        <v>7.297081167532987E-3</v>
      </c>
      <c r="E13" s="4">
        <v>0.47504377730217251</v>
      </c>
      <c r="F13" s="5">
        <v>4.7504377730217236E-3</v>
      </c>
      <c r="G13" s="4">
        <v>7.5410861796617894</v>
      </c>
      <c r="H13" s="5">
        <v>7.5410861796617892E-2</v>
      </c>
      <c r="I13" s="3">
        <v>0.12</v>
      </c>
      <c r="J13" s="2">
        <v>11025.7772404436</v>
      </c>
      <c r="K13" s="2">
        <v>1470103.632059146</v>
      </c>
      <c r="L13" s="6">
        <v>-9.5364799176630655</v>
      </c>
      <c r="M13" s="7">
        <v>1.491175352667127</v>
      </c>
      <c r="N13" s="6">
        <v>0.23185618918753559</v>
      </c>
      <c r="O13" s="2">
        <v>-30498.24337678538</v>
      </c>
      <c r="P13" s="2">
        <v>-331.85832702700242</v>
      </c>
      <c r="Q13" s="2">
        <v>16197.119240589171</v>
      </c>
      <c r="R13" s="3">
        <v>1.1017671739169959E-2</v>
      </c>
      <c r="S13" s="2">
        <v>76.94340705463172</v>
      </c>
      <c r="T13" s="7">
        <v>31980.608820134799</v>
      </c>
      <c r="U13" t="s">
        <v>55</v>
      </c>
      <c r="V13" s="5">
        <v>0.2345171113589947</v>
      </c>
      <c r="W13">
        <f t="shared" si="0"/>
        <v>32347.637672650901</v>
      </c>
      <c r="X13">
        <f t="shared" si="1"/>
        <v>0.9886536118578324</v>
      </c>
      <c r="Y13">
        <f t="shared" si="2"/>
        <v>0.99999999999999989</v>
      </c>
    </row>
    <row r="14" spans="1:25" x14ac:dyDescent="0.25">
      <c r="A14" t="s">
        <v>32</v>
      </c>
      <c r="B14" s="9">
        <v>45800</v>
      </c>
      <c r="C14" s="2">
        <v>48.915683746337891</v>
      </c>
      <c r="D14" s="3">
        <v>7.297081167532987E-3</v>
      </c>
      <c r="E14" s="4">
        <v>0.46675440950570463</v>
      </c>
      <c r="F14" s="5">
        <v>4.6675440950570456E-3</v>
      </c>
      <c r="G14" s="4">
        <v>7.4094965453693806</v>
      </c>
      <c r="H14" s="5">
        <v>7.4094965453693803E-2</v>
      </c>
      <c r="I14" s="3">
        <v>0.12</v>
      </c>
      <c r="J14" s="2">
        <v>11073.26622285691</v>
      </c>
      <c r="K14" s="2">
        <v>1476435.496380921</v>
      </c>
      <c r="L14" s="6">
        <v>-8.0351161726408282</v>
      </c>
      <c r="M14" s="7">
        <v>1.4909917539849711</v>
      </c>
      <c r="N14" s="6">
        <v>0.22831611082589731</v>
      </c>
      <c r="O14" s="2">
        <v>-26095.223588444042</v>
      </c>
      <c r="P14" s="2">
        <v>-283.91310599276039</v>
      </c>
      <c r="Q14" s="2">
        <v>13887.803704182381</v>
      </c>
      <c r="R14" s="3">
        <v>9.4063057534342232E-3</v>
      </c>
      <c r="S14" s="2">
        <v>64.821936172767806</v>
      </c>
      <c r="T14" s="7">
        <v>32476.473305136489</v>
      </c>
      <c r="U14" t="s">
        <v>55</v>
      </c>
      <c r="V14" s="5">
        <v>0.23093640524119949</v>
      </c>
      <c r="W14">
        <f t="shared" si="0"/>
        <v>32849.193045860586</v>
      </c>
      <c r="X14">
        <f t="shared" si="1"/>
        <v>0.98865361044931166</v>
      </c>
      <c r="Y14">
        <f t="shared" si="2"/>
        <v>1.0000000000000004</v>
      </c>
    </row>
    <row r="15" spans="1:25" x14ac:dyDescent="0.25">
      <c r="A15" t="s">
        <v>32</v>
      </c>
      <c r="B15" s="9">
        <v>45803</v>
      </c>
      <c r="D15" s="3">
        <v>7.297081167532987E-3</v>
      </c>
      <c r="E15" s="4">
        <v>0.46677096875104879</v>
      </c>
      <c r="F15" s="5">
        <v>4.6677096875104894E-3</v>
      </c>
      <c r="G15" s="4">
        <v>7.4097594152398596</v>
      </c>
      <c r="H15" s="5">
        <v>7.4097594152398596E-2</v>
      </c>
      <c r="I15" s="3">
        <v>0.12</v>
      </c>
      <c r="J15" s="2">
        <v>11073.104114300409</v>
      </c>
      <c r="K15" s="2">
        <v>1476413.881906721</v>
      </c>
      <c r="L15" s="6">
        <v>-8.0335857092000165</v>
      </c>
      <c r="M15" s="7">
        <v>1.49081106956761</v>
      </c>
      <c r="O15" s="2">
        <v>-26089.32760072876</v>
      </c>
      <c r="P15" s="2">
        <v>-283.8145603423547</v>
      </c>
      <c r="T15" s="7">
        <v>32475.321164310739</v>
      </c>
      <c r="U15" t="s">
        <v>55</v>
      </c>
      <c r="V15" s="5">
        <v>0.23094459827058589</v>
      </c>
      <c r="W15" t="e">
        <f t="shared" si="0"/>
        <v>#DIV/0!</v>
      </c>
      <c r="X15" t="e">
        <f t="shared" si="1"/>
        <v>#DIV/0!</v>
      </c>
      <c r="Y15">
        <f t="shared" si="2"/>
        <v>1.0000000000000002</v>
      </c>
    </row>
    <row r="16" spans="1:25" x14ac:dyDescent="0.25">
      <c r="A16" t="s">
        <v>32</v>
      </c>
      <c r="B16" s="9">
        <v>45804</v>
      </c>
      <c r="C16" s="2">
        <v>49.171779632568359</v>
      </c>
      <c r="D16" s="3">
        <v>7.297081167532987E-3</v>
      </c>
      <c r="E16" s="4">
        <v>0.46435637154494452</v>
      </c>
      <c r="F16" s="5">
        <v>4.6435637154494452E-3</v>
      </c>
      <c r="G16" s="4">
        <v>7.3714288728973987</v>
      </c>
      <c r="H16" s="5">
        <v>7.3714288728973981E-2</v>
      </c>
      <c r="I16" s="3">
        <v>0.12</v>
      </c>
      <c r="J16" s="2">
        <v>11103.75891821494</v>
      </c>
      <c r="K16" s="2">
        <v>1480501.189095326</v>
      </c>
      <c r="L16" s="6">
        <v>1.7221097896245721</v>
      </c>
      <c r="M16" s="7">
        <v>1.490633253156874</v>
      </c>
      <c r="N16" s="6">
        <v>0.2283322917258705</v>
      </c>
      <c r="O16" s="2">
        <v>5592.4086966581526</v>
      </c>
      <c r="P16" s="2">
        <v>60.830149621186933</v>
      </c>
      <c r="Q16" s="2">
        <v>2991.1267121891651</v>
      </c>
      <c r="R16" s="3">
        <v>2.0203473892627679E-3</v>
      </c>
      <c r="S16" s="2">
        <v>13.889487469033201</v>
      </c>
      <c r="T16" s="7">
        <v>32474.17052241091</v>
      </c>
      <c r="U16" t="s">
        <v>55</v>
      </c>
      <c r="V16" s="5">
        <v>0.23095278122112889</v>
      </c>
      <c r="W16">
        <f t="shared" si="0"/>
        <v>32846.865168787845</v>
      </c>
      <c r="X16">
        <f t="shared" si="1"/>
        <v>0.98865357030383894</v>
      </c>
      <c r="Y16">
        <f t="shared" si="2"/>
        <v>1</v>
      </c>
    </row>
    <row r="17" spans="1:25" x14ac:dyDescent="0.25">
      <c r="A17" t="s">
        <v>32</v>
      </c>
      <c r="B17" s="9">
        <v>45805</v>
      </c>
      <c r="C17" s="2">
        <v>49.142234802246087</v>
      </c>
      <c r="D17" s="3">
        <v>7.297081167532987E-3</v>
      </c>
      <c r="E17" s="4">
        <v>0.45384045244382598</v>
      </c>
      <c r="F17" s="5">
        <v>4.5384045244382604E-3</v>
      </c>
      <c r="G17" s="4">
        <v>7.2044938324043981</v>
      </c>
      <c r="H17" s="5">
        <v>7.2044938324043975E-2</v>
      </c>
      <c r="I17" s="3">
        <v>0.12</v>
      </c>
      <c r="J17" s="2">
        <v>11060.54828435737</v>
      </c>
      <c r="K17" s="2">
        <v>1474739.7712476491</v>
      </c>
      <c r="L17" s="6">
        <v>2.40597086436278</v>
      </c>
      <c r="M17" s="7">
        <v>1.4904582592288489</v>
      </c>
      <c r="N17" s="6">
        <v>0.22302734076752101</v>
      </c>
      <c r="O17" s="2">
        <v>7999.0368450705737</v>
      </c>
      <c r="P17" s="2">
        <v>86.997483874706347</v>
      </c>
      <c r="Q17" s="2">
        <v>4275.2507797754379</v>
      </c>
      <c r="R17" s="3">
        <v>2.8989865623265318E-3</v>
      </c>
      <c r="S17" s="2">
        <v>19.402817482041041</v>
      </c>
      <c r="T17" s="7">
        <v>33246.607278384952</v>
      </c>
      <c r="U17" t="s">
        <v>55</v>
      </c>
      <c r="V17" s="5">
        <v>0.22558692792921681</v>
      </c>
      <c r="W17">
        <f t="shared" si="0"/>
        <v>33628.164036703653</v>
      </c>
      <c r="X17">
        <f t="shared" si="1"/>
        <v>0.98865365477870726</v>
      </c>
      <c r="Y17">
        <f t="shared" si="2"/>
        <v>0.99999999999999978</v>
      </c>
    </row>
    <row r="18" spans="1:25" x14ac:dyDescent="0.25">
      <c r="A18" t="s">
        <v>32</v>
      </c>
      <c r="B18" s="9">
        <v>45806</v>
      </c>
      <c r="C18" s="2">
        <v>49.201339721679688</v>
      </c>
      <c r="D18" s="3">
        <v>7.297081167532987E-3</v>
      </c>
      <c r="E18" s="4">
        <v>0.44395365869449932</v>
      </c>
      <c r="F18" s="5">
        <v>4.4395365869449926E-3</v>
      </c>
      <c r="G18" s="4">
        <v>7.0475458472573607</v>
      </c>
      <c r="H18" s="5">
        <v>7.047545847257361E-2</v>
      </c>
      <c r="I18" s="3">
        <v>0.12</v>
      </c>
      <c r="J18" s="2">
        <v>11117.82706560668</v>
      </c>
      <c r="K18" s="2">
        <v>1482376.942080891</v>
      </c>
      <c r="L18" s="6">
        <v>3.7492295314993891</v>
      </c>
      <c r="M18" s="7">
        <v>1.49028604298222</v>
      </c>
      <c r="N18" s="6">
        <v>0.21843114782110701</v>
      </c>
      <c r="O18" s="2">
        <v>12727.201734750901</v>
      </c>
      <c r="P18" s="2">
        <v>138.4049870996636</v>
      </c>
      <c r="Q18" s="2">
        <v>6809.7107894652418</v>
      </c>
      <c r="R18" s="3">
        <v>4.5937781384443903E-3</v>
      </c>
      <c r="S18" s="2">
        <v>30.231960196345021</v>
      </c>
      <c r="T18" s="7">
        <v>33946.17914913586</v>
      </c>
      <c r="U18" t="s">
        <v>55</v>
      </c>
      <c r="V18" s="5">
        <v>0.22093797263751619</v>
      </c>
      <c r="W18">
        <f t="shared" si="0"/>
        <v>34335.762435046257</v>
      </c>
      <c r="X18">
        <f t="shared" si="1"/>
        <v>0.98865371675822311</v>
      </c>
      <c r="Y18">
        <f t="shared" si="2"/>
        <v>0.99999999999999978</v>
      </c>
    </row>
    <row r="19" spans="1:25" x14ac:dyDescent="0.25">
      <c r="A19" t="s">
        <v>32</v>
      </c>
      <c r="B19" s="9">
        <v>45807</v>
      </c>
      <c r="C19" s="2">
        <v>49.201339721679688</v>
      </c>
      <c r="D19" s="3">
        <v>7.297081167532987E-3</v>
      </c>
      <c r="E19" s="4">
        <v>0.43393271613681578</v>
      </c>
      <c r="F19" s="5">
        <v>4.339327161368158E-3</v>
      </c>
      <c r="G19" s="4">
        <v>6.8884683157967954</v>
      </c>
      <c r="H19" s="5">
        <v>6.888468315796796E-2</v>
      </c>
      <c r="I19" s="3">
        <v>0.12</v>
      </c>
      <c r="J19" s="2">
        <v>11114.740283476929</v>
      </c>
      <c r="K19" s="2">
        <v>1481965.3711302569</v>
      </c>
      <c r="L19" s="6">
        <v>4.3861231225265556</v>
      </c>
      <c r="M19" s="7">
        <v>1.4901165603268081</v>
      </c>
      <c r="N19" s="6">
        <v>0.2135007098299867</v>
      </c>
      <c r="O19" s="2">
        <v>15233.05331407853</v>
      </c>
      <c r="P19" s="2">
        <v>165.63662788162799</v>
      </c>
      <c r="Q19" s="2">
        <v>8149.5439987574218</v>
      </c>
      <c r="R19" s="3">
        <v>5.4991460377660324E-3</v>
      </c>
      <c r="S19" s="2">
        <v>35.363537626572949</v>
      </c>
      <c r="T19" s="7">
        <v>34730.108773836182</v>
      </c>
      <c r="U19" t="s">
        <v>55</v>
      </c>
      <c r="V19" s="5">
        <v>0.215950950480469</v>
      </c>
      <c r="W19">
        <f t="shared" si="0"/>
        <v>35128.688827181621</v>
      </c>
      <c r="X19">
        <f t="shared" si="1"/>
        <v>0.98865371675822333</v>
      </c>
      <c r="Y19">
        <f t="shared" si="2"/>
        <v>1</v>
      </c>
    </row>
    <row r="20" spans="1:25" x14ac:dyDescent="0.25">
      <c r="A20" t="s">
        <v>32</v>
      </c>
      <c r="B20" s="9">
        <v>45810</v>
      </c>
      <c r="C20" s="2">
        <v>48.997673034667969</v>
      </c>
      <c r="D20" s="3">
        <v>7.297081167532987E-3</v>
      </c>
      <c r="E20" s="4">
        <v>0.4335103248906424</v>
      </c>
      <c r="F20" s="5">
        <v>4.335103248906424E-3</v>
      </c>
      <c r="G20" s="4">
        <v>6.8817630626367228</v>
      </c>
      <c r="H20" s="5">
        <v>6.8817630626367227E-2</v>
      </c>
      <c r="I20" s="3">
        <v>0.12</v>
      </c>
      <c r="J20" s="2">
        <v>11198.09702599189</v>
      </c>
      <c r="K20" s="2">
        <v>1493079.603465586</v>
      </c>
      <c r="L20" s="6">
        <v>-0.15709710999353099</v>
      </c>
      <c r="M20" s="7">
        <v>1.4899497678722751</v>
      </c>
      <c r="N20" s="6">
        <v>0.21240997156144381</v>
      </c>
      <c r="O20" s="2">
        <v>-548.40158818932673</v>
      </c>
      <c r="P20" s="2">
        <v>-5.962378026843675</v>
      </c>
      <c r="Q20" s="2">
        <v>292.14264906837508</v>
      </c>
      <c r="R20" s="3">
        <v>1.9566448325346021E-4</v>
      </c>
      <c r="S20" s="2">
        <v>1.266468547120442</v>
      </c>
      <c r="T20" s="7">
        <v>34908.445369358407</v>
      </c>
      <c r="U20" t="s">
        <v>55</v>
      </c>
      <c r="V20" s="5">
        <v>0.21484772296916069</v>
      </c>
      <c r="W20">
        <f t="shared" si="0"/>
        <v>35309.07680494876</v>
      </c>
      <c r="X20">
        <f t="shared" si="1"/>
        <v>0.98865358508795109</v>
      </c>
      <c r="Y20">
        <f t="shared" si="2"/>
        <v>1.0000000000000007</v>
      </c>
    </row>
    <row r="21" spans="1:25" x14ac:dyDescent="0.25">
      <c r="A21" t="s">
        <v>32</v>
      </c>
      <c r="B21" s="9">
        <v>45811</v>
      </c>
      <c r="C21" s="2">
        <v>48.908695220947273</v>
      </c>
      <c r="D21" s="3">
        <v>7.297081167532987E-3</v>
      </c>
      <c r="E21" s="4">
        <v>0.4256070171105677</v>
      </c>
      <c r="F21" s="5">
        <v>4.2560701711056772E-3</v>
      </c>
      <c r="G21" s="4">
        <v>6.7563019411114453</v>
      </c>
      <c r="H21" s="5">
        <v>6.756301941111445E-2</v>
      </c>
      <c r="I21" s="3">
        <v>0.12</v>
      </c>
      <c r="J21" s="2">
        <v>11166.44890125633</v>
      </c>
      <c r="K21" s="2">
        <v>1488859.853500844</v>
      </c>
      <c r="L21" s="6">
        <v>-3.9720201660370349</v>
      </c>
      <c r="M21" s="7">
        <v>1.489785622917021</v>
      </c>
      <c r="N21" s="6">
        <v>0.2081588388375725</v>
      </c>
      <c r="O21" s="2">
        <v>-14148.87817968164</v>
      </c>
      <c r="P21" s="2">
        <v>-153.813680142409</v>
      </c>
      <c r="Q21" s="2">
        <v>7522.8264028973499</v>
      </c>
      <c r="R21" s="3">
        <v>5.0527431344249661E-3</v>
      </c>
      <c r="S21" s="2">
        <v>32.017677055777632</v>
      </c>
      <c r="T21" s="7">
        <v>35621.3654217125</v>
      </c>
      <c r="U21" t="s">
        <v>55</v>
      </c>
      <c r="V21" s="5">
        <v>0.210547796559996</v>
      </c>
      <c r="W21">
        <f t="shared" si="0"/>
        <v>36030.17792510023</v>
      </c>
      <c r="X21">
        <f t="shared" si="1"/>
        <v>0.98865360853233719</v>
      </c>
      <c r="Y21">
        <f t="shared" si="2"/>
        <v>1</v>
      </c>
    </row>
    <row r="22" spans="1:25" x14ac:dyDescent="0.25">
      <c r="A22" t="s">
        <v>32</v>
      </c>
      <c r="B22" s="9">
        <v>45812</v>
      </c>
      <c r="C22" s="2">
        <v>49.056987762451172</v>
      </c>
      <c r="D22" s="3">
        <v>7.297081167532987E-3</v>
      </c>
      <c r="E22" s="4">
        <v>0.4213068166919392</v>
      </c>
      <c r="F22" s="5">
        <v>4.2130681669193919E-3</v>
      </c>
      <c r="G22" s="4">
        <v>6.6880383757388842</v>
      </c>
      <c r="H22" s="5">
        <v>6.6880383757388848E-2</v>
      </c>
      <c r="I22" s="3">
        <v>0.12</v>
      </c>
      <c r="J22" s="2">
        <v>11230.396365610541</v>
      </c>
      <c r="K22" s="2">
        <v>1497386.1820814051</v>
      </c>
      <c r="L22" s="6">
        <v>-1.922797886442458</v>
      </c>
      <c r="M22" s="7">
        <v>1.4896240834372469</v>
      </c>
      <c r="N22" s="6">
        <v>0.20668043350693721</v>
      </c>
      <c r="O22" s="2">
        <v>-6898.2616468146998</v>
      </c>
      <c r="P22" s="2">
        <v>-74.983468388204841</v>
      </c>
      <c r="Q22" s="2">
        <v>3678.4630911063091</v>
      </c>
      <c r="R22" s="3">
        <v>2.456589445745486E-3</v>
      </c>
      <c r="S22" s="2">
        <v>15.497615752327899</v>
      </c>
      <c r="T22" s="7">
        <v>35876.166161061243</v>
      </c>
      <c r="U22" t="s">
        <v>55</v>
      </c>
      <c r="V22" s="5">
        <v>0.20905243794249789</v>
      </c>
      <c r="W22">
        <f t="shared" si="0"/>
        <v>36287.90530743813</v>
      </c>
      <c r="X22">
        <f t="shared" si="1"/>
        <v>0.98865354329800648</v>
      </c>
      <c r="Y22">
        <f t="shared" si="2"/>
        <v>1.0000000000000002</v>
      </c>
    </row>
    <row r="23" spans="1:25" x14ac:dyDescent="0.25">
      <c r="A23" t="s">
        <v>32</v>
      </c>
      <c r="B23" s="9">
        <v>45813</v>
      </c>
      <c r="C23" s="2">
        <v>48.997673034667969</v>
      </c>
      <c r="D23" s="3">
        <v>7.297081167532987E-3</v>
      </c>
      <c r="E23" s="4">
        <v>0.41310214429811981</v>
      </c>
      <c r="F23" s="5">
        <v>4.1310214429811981E-3</v>
      </c>
      <c r="G23" s="4">
        <v>6.5577932392820646</v>
      </c>
      <c r="H23" s="5">
        <v>6.5577932392820656E-2</v>
      </c>
      <c r="I23" s="3">
        <v>0.12</v>
      </c>
      <c r="J23" s="2">
        <v>11210.896696448001</v>
      </c>
      <c r="K23" s="2">
        <v>1494786.226193066</v>
      </c>
      <c r="L23" s="6">
        <v>-4.2024071160771186</v>
      </c>
      <c r="M23" s="7">
        <v>1.4894651080761989</v>
      </c>
      <c r="N23" s="6">
        <v>0.202410437962395</v>
      </c>
      <c r="O23" s="2">
        <v>-15394.67864083417</v>
      </c>
      <c r="P23" s="2">
        <v>-167.3208794310257</v>
      </c>
      <c r="Q23" s="2">
        <v>8198.3337422344975</v>
      </c>
      <c r="R23" s="3">
        <v>5.4846195386172919E-3</v>
      </c>
      <c r="S23" s="2">
        <v>33.867492485886999</v>
      </c>
      <c r="T23" s="7">
        <v>36633.001552702633</v>
      </c>
      <c r="U23" t="s">
        <v>55</v>
      </c>
      <c r="V23" s="5">
        <v>0.20473342838724279</v>
      </c>
      <c r="W23">
        <f t="shared" si="0"/>
        <v>37053.425087659722</v>
      </c>
      <c r="X23">
        <f t="shared" si="1"/>
        <v>0.98865358508795165</v>
      </c>
      <c r="Y23">
        <f t="shared" si="2"/>
        <v>1.0000000000000002</v>
      </c>
    </row>
    <row r="24" spans="1:25" x14ac:dyDescent="0.25">
      <c r="A24" t="s">
        <v>32</v>
      </c>
      <c r="B24" s="9">
        <v>45814</v>
      </c>
      <c r="C24" s="2">
        <v>48.819713592529297</v>
      </c>
      <c r="D24" s="3">
        <v>7.297081167532987E-3</v>
      </c>
      <c r="E24" s="4">
        <v>0.41118156377593562</v>
      </c>
      <c r="F24" s="5">
        <v>4.1118156377593562E-3</v>
      </c>
      <c r="G24" s="4">
        <v>6.5273049686746214</v>
      </c>
      <c r="H24" s="5">
        <v>6.5273049686746215E-2</v>
      </c>
      <c r="I24" s="3">
        <v>0.12</v>
      </c>
      <c r="J24" s="2">
        <v>11186.97896177642</v>
      </c>
      <c r="K24" s="2">
        <v>1491597.194903523</v>
      </c>
      <c r="L24" s="6">
        <v>-8.2756572688412575</v>
      </c>
      <c r="M24" s="7">
        <v>1.4893086561335811</v>
      </c>
      <c r="N24" s="6">
        <v>0.20073766178069499</v>
      </c>
      <c r="O24" s="2">
        <v>-30568.845071174052</v>
      </c>
      <c r="P24" s="2">
        <v>-332.21016856916862</v>
      </c>
      <c r="Q24" s="2">
        <v>16218.40528207269</v>
      </c>
      <c r="R24" s="3">
        <v>1.0873180331451149E-2</v>
      </c>
      <c r="S24" s="2">
        <v>66.687092458345418</v>
      </c>
      <c r="T24" s="7">
        <v>36938.268560575911</v>
      </c>
      <c r="U24" t="s">
        <v>55</v>
      </c>
      <c r="V24" s="5">
        <v>0.20304146058444991</v>
      </c>
      <c r="W24">
        <f t="shared" si="0"/>
        <v>37362.196677341584</v>
      </c>
      <c r="X24">
        <f t="shared" si="1"/>
        <v>0.98865355481031536</v>
      </c>
      <c r="Y24">
        <f t="shared" si="2"/>
        <v>1.0000000000000002</v>
      </c>
    </row>
    <row r="25" spans="1:25" x14ac:dyDescent="0.25">
      <c r="A25" t="s">
        <v>32</v>
      </c>
      <c r="B25" s="9">
        <v>45817</v>
      </c>
      <c r="C25" s="2">
        <v>48.968009948730469</v>
      </c>
      <c r="D25" s="3">
        <v>7.297081167532987E-3</v>
      </c>
      <c r="E25" s="4">
        <v>0.40786661284269049</v>
      </c>
      <c r="F25" s="5">
        <v>4.0786661284269053E-3</v>
      </c>
      <c r="G25" s="4">
        <v>6.4746817540081354</v>
      </c>
      <c r="H25" s="5">
        <v>6.4746817540081339E-2</v>
      </c>
      <c r="I25" s="3">
        <v>0.12</v>
      </c>
      <c r="J25" s="2">
        <v>11224.714403689801</v>
      </c>
      <c r="K25" s="2">
        <v>1496628.5871586399</v>
      </c>
      <c r="L25" s="6">
        <v>-6.0217047770255814</v>
      </c>
      <c r="M25" s="7">
        <v>1.489154687555132</v>
      </c>
      <c r="N25" s="6">
        <v>0.19972416355435871</v>
      </c>
      <c r="O25" s="2">
        <v>-22356.007652376931</v>
      </c>
      <c r="P25" s="2">
        <v>-242.93116871284329</v>
      </c>
      <c r="Q25" s="2">
        <v>11895.855886387229</v>
      </c>
      <c r="R25" s="3">
        <v>7.9484355627414526E-3</v>
      </c>
      <c r="S25" s="2">
        <v>48.519224472455427</v>
      </c>
      <c r="T25" s="7">
        <v>37125.711870949061</v>
      </c>
      <c r="U25" t="s">
        <v>55</v>
      </c>
      <c r="V25" s="5">
        <v>0.2020163283621442</v>
      </c>
      <c r="W25">
        <f t="shared" si="0"/>
        <v>37551.790762456912</v>
      </c>
      <c r="X25">
        <f t="shared" si="1"/>
        <v>0.98865356663805681</v>
      </c>
      <c r="Y25">
        <f t="shared" si="2"/>
        <v>1</v>
      </c>
    </row>
    <row r="26" spans="1:25" x14ac:dyDescent="0.25">
      <c r="A26" t="s">
        <v>32</v>
      </c>
      <c r="B26" s="9">
        <v>45818</v>
      </c>
      <c r="C26" s="2">
        <v>48.9383544921875</v>
      </c>
      <c r="D26" s="3">
        <v>7.297081167532987E-3</v>
      </c>
      <c r="E26" s="4">
        <v>0.39958577673821111</v>
      </c>
      <c r="F26" s="5">
        <v>3.9958577673821103E-3</v>
      </c>
      <c r="G26" s="4">
        <v>6.3432275561273084</v>
      </c>
      <c r="H26" s="5">
        <v>6.343227556127308E-2</v>
      </c>
      <c r="I26" s="3">
        <v>0.12</v>
      </c>
      <c r="J26" s="2">
        <v>11266.54529417644</v>
      </c>
      <c r="K26" s="2">
        <v>1502206.039223525</v>
      </c>
      <c r="L26" s="6">
        <v>-5.9651822191514352</v>
      </c>
      <c r="M26" s="7">
        <v>1.4890031629223719</v>
      </c>
      <c r="N26" s="6">
        <v>0.19555070392050661</v>
      </c>
      <c r="O26" s="2">
        <v>-22618.810287192809</v>
      </c>
      <c r="P26" s="2">
        <v>-245.7618996415016</v>
      </c>
      <c r="Q26" s="2">
        <v>12027.18296532921</v>
      </c>
      <c r="R26" s="3">
        <v>8.0063470997267048E-3</v>
      </c>
      <c r="S26" s="2">
        <v>48.058912471736541</v>
      </c>
      <c r="T26" s="7">
        <v>37918.054229046502</v>
      </c>
      <c r="U26" t="s">
        <v>55</v>
      </c>
      <c r="V26" s="5">
        <v>0.19779495948541451</v>
      </c>
      <c r="W26">
        <f t="shared" si="0"/>
        <v>38353.224251490436</v>
      </c>
      <c r="X26">
        <f t="shared" si="1"/>
        <v>0.98865362610479812</v>
      </c>
      <c r="Y26">
        <f t="shared" si="2"/>
        <v>0.99999999999999967</v>
      </c>
    </row>
    <row r="27" spans="1:25" x14ac:dyDescent="0.25">
      <c r="A27" t="s">
        <v>32</v>
      </c>
      <c r="B27" s="9">
        <v>45819</v>
      </c>
      <c r="C27" s="2">
        <v>49.017448425292969</v>
      </c>
      <c r="D27" s="3">
        <v>7.297081167532987E-3</v>
      </c>
      <c r="E27" s="4">
        <v>0.39276112622952869</v>
      </c>
      <c r="F27" s="5">
        <v>3.9276112622952872E-3</v>
      </c>
      <c r="G27" s="4">
        <v>6.2348895879418853</v>
      </c>
      <c r="H27" s="5">
        <v>6.2348895879418852E-2</v>
      </c>
      <c r="I27" s="3">
        <v>0.12</v>
      </c>
      <c r="J27" s="2">
        <v>11290.81186502896</v>
      </c>
      <c r="K27" s="2">
        <v>1505441.582003861</v>
      </c>
      <c r="L27" s="6">
        <v>-3.8430912603800258</v>
      </c>
      <c r="M27" s="7">
        <v>1.488854043442513</v>
      </c>
      <c r="N27" s="6">
        <v>0.19252148248415901</v>
      </c>
      <c r="O27" s="2">
        <v>-14801.54077366684</v>
      </c>
      <c r="P27" s="2">
        <v>-160.8082136542269</v>
      </c>
      <c r="Q27" s="2">
        <v>7882.4083191595601</v>
      </c>
      <c r="R27" s="3">
        <v>5.2359443324711784E-3</v>
      </c>
      <c r="S27" s="2">
        <v>30.959035688341149</v>
      </c>
      <c r="T27" s="7">
        <v>38514.674179772614</v>
      </c>
      <c r="U27" t="s">
        <v>55</v>
      </c>
      <c r="V27" s="5">
        <v>0.19473097357627131</v>
      </c>
      <c r="W27">
        <f t="shared" si="0"/>
        <v>38956.691498659697</v>
      </c>
      <c r="X27">
        <f t="shared" si="1"/>
        <v>0.9886536227312247</v>
      </c>
      <c r="Y27">
        <f t="shared" si="2"/>
        <v>1</v>
      </c>
    </row>
    <row r="28" spans="1:25" x14ac:dyDescent="0.25">
      <c r="A28" t="s">
        <v>32</v>
      </c>
      <c r="B28" s="9">
        <v>45820</v>
      </c>
      <c r="C28" s="2">
        <v>49.254722595214851</v>
      </c>
      <c r="D28" s="3">
        <v>7.297081167532987E-3</v>
      </c>
      <c r="E28" s="4">
        <v>0.39644890499778579</v>
      </c>
      <c r="F28" s="5">
        <v>3.9644890499778594E-3</v>
      </c>
      <c r="G28" s="4">
        <v>6.29343126100808</v>
      </c>
      <c r="H28" s="5">
        <v>6.2934312610080798E-2</v>
      </c>
      <c r="I28" s="3">
        <v>0.12</v>
      </c>
      <c r="J28" s="2">
        <v>11380.10131367037</v>
      </c>
      <c r="K28" s="2">
        <v>1517346.8418227159</v>
      </c>
      <c r="L28" s="6">
        <v>2.0464465001420029</v>
      </c>
      <c r="M28" s="7">
        <v>1.4887072909385251</v>
      </c>
      <c r="N28" s="6">
        <v>0.19526980838842631</v>
      </c>
      <c r="O28" s="2">
        <v>7770.889181440185</v>
      </c>
      <c r="P28" s="2">
        <v>84.416862729574021</v>
      </c>
      <c r="Q28" s="2">
        <v>4157.9291561034997</v>
      </c>
      <c r="R28" s="3">
        <v>2.7402628334526188E-3</v>
      </c>
      <c r="S28" s="2">
        <v>16.484064609956</v>
      </c>
      <c r="T28" s="7">
        <v>37972.598750570629</v>
      </c>
      <c r="U28" t="s">
        <v>55</v>
      </c>
      <c r="V28" s="5">
        <v>0.19751084326003079</v>
      </c>
      <c r="W28">
        <f t="shared" si="0"/>
        <v>38408.395347432139</v>
      </c>
      <c r="X28">
        <f t="shared" si="1"/>
        <v>0.98865361093793658</v>
      </c>
      <c r="Y28">
        <f t="shared" si="2"/>
        <v>1.0000000000000004</v>
      </c>
    </row>
    <row r="29" spans="1:25" x14ac:dyDescent="0.25">
      <c r="A29" t="s">
        <v>32</v>
      </c>
      <c r="B29" s="9">
        <v>45821</v>
      </c>
      <c r="C29" s="2">
        <v>49.096538543701172</v>
      </c>
      <c r="D29" s="3">
        <v>7.297081167532987E-3</v>
      </c>
      <c r="E29" s="4">
        <v>0.3951792463403887</v>
      </c>
      <c r="F29" s="5">
        <v>3.9517924634038873E-3</v>
      </c>
      <c r="G29" s="4">
        <v>6.2732760546636017</v>
      </c>
      <c r="H29" s="5">
        <v>6.2732760546636013E-2</v>
      </c>
      <c r="I29" s="3">
        <v>0.12</v>
      </c>
      <c r="J29" s="2">
        <v>11261.071951287089</v>
      </c>
      <c r="K29" s="2">
        <v>1501476.260171612</v>
      </c>
      <c r="L29" s="6">
        <v>0.63806458499159646</v>
      </c>
      <c r="M29" s="7">
        <v>1.4885628678393621</v>
      </c>
      <c r="N29" s="6">
        <v>0.19401933099621679</v>
      </c>
      <c r="O29" s="2">
        <v>2438.5129211647491</v>
      </c>
      <c r="P29" s="2">
        <v>26.487527432388589</v>
      </c>
      <c r="Q29" s="2">
        <v>1300.445911511609</v>
      </c>
      <c r="R29" s="3">
        <v>8.6611153703021189E-4</v>
      </c>
      <c r="S29" s="2">
        <v>5.1390923521759744</v>
      </c>
      <c r="T29" s="7">
        <v>38217.336904803531</v>
      </c>
      <c r="U29" t="s">
        <v>55</v>
      </c>
      <c r="V29" s="5">
        <v>0.19624601312964141</v>
      </c>
      <c r="W29">
        <f t="shared" si="0"/>
        <v>38655.941969752719</v>
      </c>
      <c r="X29">
        <f t="shared" si="1"/>
        <v>0.98865361849693423</v>
      </c>
      <c r="Y29">
        <f t="shared" si="2"/>
        <v>0.99999999999999967</v>
      </c>
    </row>
    <row r="30" spans="1:25" x14ac:dyDescent="0.25">
      <c r="A30" t="s">
        <v>32</v>
      </c>
      <c r="B30" s="9">
        <v>45824</v>
      </c>
      <c r="C30" s="2">
        <v>49.205291748046882</v>
      </c>
      <c r="D30" s="3">
        <v>7.297081167532987E-3</v>
      </c>
      <c r="E30" s="4">
        <v>0.38919520423315201</v>
      </c>
      <c r="F30" s="5">
        <v>3.89195204233152E-3</v>
      </c>
      <c r="G30" s="4">
        <v>6.1782823311594788</v>
      </c>
      <c r="H30" s="5">
        <v>6.1782823311594792E-2</v>
      </c>
      <c r="I30" s="3">
        <v>0.12</v>
      </c>
      <c r="J30" s="2">
        <v>11303.27252402902</v>
      </c>
      <c r="K30" s="2">
        <v>1507103.0032038691</v>
      </c>
      <c r="L30" s="6">
        <v>2.7731163161367398</v>
      </c>
      <c r="M30" s="7">
        <v>1.4884207371703451</v>
      </c>
      <c r="N30" s="6">
        <v>0.19150463571232931</v>
      </c>
      <c r="O30" s="2">
        <v>10737.27866727853</v>
      </c>
      <c r="P30" s="2">
        <v>116.6189464806166</v>
      </c>
      <c r="Q30" s="2">
        <v>5738.2692849286032</v>
      </c>
      <c r="R30" s="3">
        <v>3.8074831466262931E-3</v>
      </c>
      <c r="S30" s="2">
        <v>22.333068862926108</v>
      </c>
      <c r="T30" s="7">
        <v>38719.178870350283</v>
      </c>
      <c r="U30" t="s">
        <v>55</v>
      </c>
      <c r="V30" s="5">
        <v>0.19370245492843399</v>
      </c>
      <c r="W30">
        <f t="shared" si="0"/>
        <v>39163.542815048102</v>
      </c>
      <c r="X30">
        <f t="shared" si="1"/>
        <v>0.98865363261959338</v>
      </c>
      <c r="Y30">
        <f t="shared" si="2"/>
        <v>1</v>
      </c>
    </row>
    <row r="31" spans="1:25" x14ac:dyDescent="0.25">
      <c r="A31" t="s">
        <v>32</v>
      </c>
      <c r="B31" s="9">
        <v>45825</v>
      </c>
      <c r="C31" s="2">
        <v>49.314041137695313</v>
      </c>
      <c r="D31" s="3">
        <v>7.297081167532987E-3</v>
      </c>
      <c r="E31" s="4">
        <v>0.38312339637348841</v>
      </c>
      <c r="F31" s="5">
        <v>3.831233963734883E-3</v>
      </c>
      <c r="G31" s="4">
        <v>6.0818953695280538</v>
      </c>
      <c r="H31" s="5">
        <v>6.0818953695280543E-2</v>
      </c>
      <c r="I31" s="3">
        <v>0.12</v>
      </c>
      <c r="J31" s="2">
        <v>11211.69671328517</v>
      </c>
      <c r="K31" s="2">
        <v>1494892.89510469</v>
      </c>
      <c r="L31" s="6">
        <v>4.9413173461376134</v>
      </c>
      <c r="M31" s="7">
        <v>1.488280862543693</v>
      </c>
      <c r="N31" s="6">
        <v>0.18893362929575749</v>
      </c>
      <c r="O31" s="2">
        <v>19392.726908803659</v>
      </c>
      <c r="P31" s="2">
        <v>210.6070747615282</v>
      </c>
      <c r="Q31" s="2">
        <v>10385.88594867967</v>
      </c>
      <c r="R31" s="3">
        <v>6.9475786410452727E-3</v>
      </c>
      <c r="S31" s="2">
        <v>39.79075899005845</v>
      </c>
      <c r="T31" s="7">
        <v>39246.066484602539</v>
      </c>
      <c r="U31" t="s">
        <v>55</v>
      </c>
      <c r="V31" s="5">
        <v>0.19110195420329529</v>
      </c>
      <c r="W31">
        <f t="shared" si="0"/>
        <v>39696.479805929463</v>
      </c>
      <c r="X31">
        <f t="shared" si="1"/>
        <v>0.98865357020247313</v>
      </c>
      <c r="Y31">
        <f t="shared" si="2"/>
        <v>1.0000000000000004</v>
      </c>
    </row>
    <row r="32" spans="1:25" x14ac:dyDescent="0.25">
      <c r="A32" t="s">
        <v>32</v>
      </c>
      <c r="B32" s="9">
        <v>45826</v>
      </c>
      <c r="C32" s="2">
        <v>49.284381866455078</v>
      </c>
      <c r="D32" s="3">
        <v>7.297081167532987E-3</v>
      </c>
      <c r="E32" s="4">
        <v>0.37598627938443901</v>
      </c>
      <c r="F32" s="5">
        <v>3.7598627938443901E-3</v>
      </c>
      <c r="G32" s="4">
        <v>5.9685971497420613</v>
      </c>
      <c r="H32" s="5">
        <v>5.9685971497420623E-2</v>
      </c>
      <c r="I32" s="3">
        <v>0.12</v>
      </c>
      <c r="J32" s="2">
        <v>11211.59657155407</v>
      </c>
      <c r="K32" s="2">
        <v>1494879.5428738759</v>
      </c>
      <c r="L32" s="6">
        <v>5.2409278583126531</v>
      </c>
      <c r="M32" s="7">
        <v>1.4881432081492101</v>
      </c>
      <c r="N32" s="6">
        <v>0.18530251369730361</v>
      </c>
      <c r="O32" s="2">
        <v>20971.635407865611</v>
      </c>
      <c r="P32" s="2">
        <v>227.73312333568921</v>
      </c>
      <c r="Q32" s="2">
        <v>11223.68621411662</v>
      </c>
      <c r="R32" s="3">
        <v>7.5080873690593873E-3</v>
      </c>
      <c r="S32" s="2">
        <v>42.199520206241267</v>
      </c>
      <c r="T32" s="7">
        <v>40015.119411732478</v>
      </c>
      <c r="U32" t="s">
        <v>55</v>
      </c>
      <c r="V32" s="5">
        <v>0.1874291545360475</v>
      </c>
      <c r="W32">
        <f t="shared" si="0"/>
        <v>40474.35650145277</v>
      </c>
      <c r="X32">
        <f t="shared" si="1"/>
        <v>0.9886536283855728</v>
      </c>
      <c r="Y32">
        <f t="shared" si="2"/>
        <v>1</v>
      </c>
    </row>
    <row r="33" spans="1:25" x14ac:dyDescent="0.25">
      <c r="A33" t="s">
        <v>32</v>
      </c>
      <c r="B33" s="9">
        <v>45827</v>
      </c>
      <c r="D33" s="3">
        <v>7.297081167532987E-3</v>
      </c>
      <c r="E33" s="4">
        <v>0.37596529086139407</v>
      </c>
      <c r="F33" s="5">
        <v>3.7596529086139419E-3</v>
      </c>
      <c r="G33" s="4">
        <v>5.9682639672678821</v>
      </c>
      <c r="H33" s="5">
        <v>5.9682639672678818E-2</v>
      </c>
      <c r="I33" s="3">
        <v>0.12</v>
      </c>
      <c r="J33" s="2">
        <v>11211.453858359429</v>
      </c>
      <c r="K33" s="2">
        <v>1494860.514447924</v>
      </c>
      <c r="L33" s="6">
        <v>5.2415069011236977</v>
      </c>
      <c r="M33" s="7">
        <v>1.4880077387451149</v>
      </c>
      <c r="O33" s="2">
        <v>20975.123340026919</v>
      </c>
      <c r="P33" s="2">
        <v>227.75026458180321</v>
      </c>
      <c r="T33" s="7">
        <v>40017.35328351886</v>
      </c>
      <c r="U33" t="s">
        <v>55</v>
      </c>
      <c r="V33" s="5">
        <v>0.1874186917576299</v>
      </c>
      <c r="W33" t="e">
        <f t="shared" ref="W33:W96" si="3">(1000000*I33/16)/(C33*F33)</f>
        <v>#DIV/0!</v>
      </c>
      <c r="X33" t="e">
        <f t="shared" ref="X33:X96" si="4">T33/W33</f>
        <v>#DIV/0!</v>
      </c>
      <c r="Y33">
        <f t="shared" si="2"/>
        <v>1</v>
      </c>
    </row>
    <row r="34" spans="1:25" x14ac:dyDescent="0.25">
      <c r="A34" t="s">
        <v>32</v>
      </c>
      <c r="B34" s="9">
        <v>45828</v>
      </c>
      <c r="C34" s="2">
        <v>49.383251190185547</v>
      </c>
      <c r="D34" s="3">
        <v>7.297081167532987E-3</v>
      </c>
      <c r="E34" s="4">
        <v>0.37519166947665378</v>
      </c>
      <c r="F34" s="5">
        <v>3.7519166947665378E-3</v>
      </c>
      <c r="G34" s="4">
        <v>5.9559831085102166</v>
      </c>
      <c r="H34" s="5">
        <v>5.9559831085102169E-2</v>
      </c>
      <c r="I34" s="3">
        <v>0.12</v>
      </c>
      <c r="J34" s="2">
        <v>11199.953935458811</v>
      </c>
      <c r="K34" s="2">
        <v>1493327.1913945079</v>
      </c>
      <c r="L34" s="6">
        <v>6.5527531734124107</v>
      </c>
      <c r="M34" s="7">
        <v>1.4878744196490219</v>
      </c>
      <c r="N34" s="6">
        <v>0.1852818445823067</v>
      </c>
      <c r="O34" s="2">
        <v>26223.846047249888</v>
      </c>
      <c r="P34" s="2">
        <v>284.71597852258469</v>
      </c>
      <c r="Q34" s="2">
        <v>14060.20068524027</v>
      </c>
      <c r="R34" s="3">
        <v>9.4153516833176357E-3</v>
      </c>
      <c r="S34" s="2">
        <v>52.752701682720897</v>
      </c>
      <c r="T34" s="7">
        <v>40019.584674198188</v>
      </c>
      <c r="U34" t="s">
        <v>55</v>
      </c>
      <c r="V34" s="5">
        <v>0.18740824176607379</v>
      </c>
      <c r="W34">
        <f t="shared" si="3"/>
        <v>40478.871618035519</v>
      </c>
      <c r="X34">
        <f t="shared" si="4"/>
        <v>0.98865366238043317</v>
      </c>
      <c r="Y34">
        <f t="shared" si="2"/>
        <v>1.0000000000000004</v>
      </c>
    </row>
    <row r="35" spans="1:25" x14ac:dyDescent="0.25">
      <c r="A35" t="s">
        <v>32</v>
      </c>
      <c r="B35" s="9">
        <v>45831</v>
      </c>
      <c r="C35" s="2">
        <v>49.403018951416023</v>
      </c>
      <c r="D35" s="3">
        <v>7.297081167532987E-3</v>
      </c>
      <c r="E35" s="4">
        <v>0.36705119887344251</v>
      </c>
      <c r="F35" s="5">
        <v>3.6705119887344251E-3</v>
      </c>
      <c r="G35" s="4">
        <v>5.8267571438834418</v>
      </c>
      <c r="H35" s="5">
        <v>5.8267571438834417E-2</v>
      </c>
      <c r="I35" s="3">
        <v>0.12</v>
      </c>
      <c r="J35" s="2">
        <v>11251.868419895611</v>
      </c>
      <c r="K35" s="2">
        <v>1500249.122652747</v>
      </c>
      <c r="L35" s="6">
        <v>7.0339043556101473</v>
      </c>
      <c r="M35" s="7">
        <v>1.4877432167290581</v>
      </c>
      <c r="N35" s="6">
        <v>0.18133437334084651</v>
      </c>
      <c r="O35" s="2">
        <v>28149.39309495518</v>
      </c>
      <c r="P35" s="2">
        <v>305.59496299589728</v>
      </c>
      <c r="Q35" s="2">
        <v>15097.313748343589</v>
      </c>
      <c r="R35" s="3">
        <v>1.0063204517426051E-2</v>
      </c>
      <c r="S35" s="2">
        <v>55.414871110980222</v>
      </c>
      <c r="T35" s="7">
        <v>40019.584674198188</v>
      </c>
      <c r="U35" t="s">
        <v>55</v>
      </c>
      <c r="V35" s="5">
        <v>0.18334207663766289</v>
      </c>
      <c r="W35">
        <f t="shared" si="3"/>
        <v>41360.05690384232</v>
      </c>
      <c r="X35">
        <f t="shared" si="4"/>
        <v>0.96759017443422324</v>
      </c>
      <c r="Y35">
        <f t="shared" si="2"/>
        <v>1.0221780248319481</v>
      </c>
    </row>
    <row r="36" spans="1:25" x14ac:dyDescent="0.25">
      <c r="A36" t="s">
        <v>32</v>
      </c>
      <c r="B36" s="9">
        <v>45832</v>
      </c>
      <c r="C36" s="2">
        <v>49.422798156738281</v>
      </c>
      <c r="D36" s="3">
        <v>7.297081167532987E-3</v>
      </c>
      <c r="E36" s="4">
        <v>0.35923520720709828</v>
      </c>
      <c r="F36" s="5">
        <v>3.5923520720709829E-3</v>
      </c>
      <c r="G36" s="4">
        <v>5.7026821226924413</v>
      </c>
      <c r="H36" s="5">
        <v>5.7026821226924422E-2</v>
      </c>
      <c r="I36" s="3">
        <v>0.12</v>
      </c>
      <c r="J36" s="2">
        <v>11310.768814258099</v>
      </c>
      <c r="K36" s="2">
        <v>1508102.508567747</v>
      </c>
      <c r="L36" s="6">
        <v>7.3487279490036874</v>
      </c>
      <c r="M36" s="7">
        <v>1.487614096395125</v>
      </c>
      <c r="N36" s="6">
        <v>0.17754409136590471</v>
      </c>
      <c r="O36" s="2">
        <v>29409.304040279989</v>
      </c>
      <c r="P36" s="2">
        <v>319.24507730029859</v>
      </c>
      <c r="Q36" s="2">
        <v>15777.98501794497</v>
      </c>
      <c r="R36" s="3">
        <v>1.046214360649092E-2</v>
      </c>
      <c r="S36" s="2">
        <v>56.680077172319542</v>
      </c>
      <c r="T36" s="7">
        <v>40019.584674198188</v>
      </c>
      <c r="U36" t="s">
        <v>55</v>
      </c>
      <c r="V36" s="5">
        <v>0.17943798874069269</v>
      </c>
      <c r="W36">
        <f t="shared" si="3"/>
        <v>42243.027871556013</v>
      </c>
      <c r="X36">
        <f t="shared" si="4"/>
        <v>0.94736543970952036</v>
      </c>
      <c r="Y36">
        <f t="shared" si="2"/>
        <v>1.044417868709502</v>
      </c>
    </row>
    <row r="37" spans="1:25" x14ac:dyDescent="0.25">
      <c r="A37" t="s">
        <v>32</v>
      </c>
      <c r="B37" s="9">
        <v>45833</v>
      </c>
      <c r="C37" s="2">
        <v>49.383251190185547</v>
      </c>
      <c r="D37" s="3">
        <v>7.297081167532987E-3</v>
      </c>
      <c r="E37" s="4">
        <v>0.35224187249567601</v>
      </c>
      <c r="F37" s="5">
        <v>3.5224187249567589E-3</v>
      </c>
      <c r="G37" s="4">
        <v>5.591666375803686</v>
      </c>
      <c r="H37" s="5">
        <v>5.5916663758036861E-2</v>
      </c>
      <c r="I37" s="3">
        <v>0.12</v>
      </c>
      <c r="J37" s="2">
        <v>11291.2382946005</v>
      </c>
      <c r="K37" s="2">
        <v>1505498.4392800671</v>
      </c>
      <c r="L37" s="6">
        <v>6.3285948044476301</v>
      </c>
      <c r="M37" s="7">
        <v>1.487487025590301</v>
      </c>
      <c r="N37" s="6">
        <v>0.17394848869155269</v>
      </c>
      <c r="O37" s="2">
        <v>25326.77356452827</v>
      </c>
      <c r="P37" s="2">
        <v>274.90474173889231</v>
      </c>
      <c r="Q37" s="2">
        <v>13575.689914664799</v>
      </c>
      <c r="R37" s="3">
        <v>9.0174055053532497E-3</v>
      </c>
      <c r="S37" s="2">
        <v>47.819264359621933</v>
      </c>
      <c r="T37" s="7">
        <v>40019.584674198188</v>
      </c>
      <c r="U37" t="s">
        <v>55</v>
      </c>
      <c r="V37" s="5">
        <v>0.1759448179989824</v>
      </c>
      <c r="W37">
        <f t="shared" si="3"/>
        <v>43116.212485749609</v>
      </c>
      <c r="X37">
        <f t="shared" si="4"/>
        <v>0.92817950295205331</v>
      </c>
      <c r="Y37">
        <f t="shared" si="2"/>
        <v>1.0651535174349824</v>
      </c>
    </row>
    <row r="38" spans="1:25" x14ac:dyDescent="0.25">
      <c r="A38" t="s">
        <v>32</v>
      </c>
      <c r="B38" s="9">
        <v>45834</v>
      </c>
      <c r="C38" s="2">
        <v>49.44256591796875</v>
      </c>
      <c r="D38" s="3">
        <v>7.297081167532987E-3</v>
      </c>
      <c r="E38" s="4">
        <v>0.34582826659707999</v>
      </c>
      <c r="F38" s="5">
        <v>3.4582826659707998E-3</v>
      </c>
      <c r="G38" s="4">
        <v>5.4898535385145149</v>
      </c>
      <c r="H38" s="5">
        <v>5.489853538514515E-2</v>
      </c>
      <c r="I38" s="3">
        <v>0.12</v>
      </c>
      <c r="J38" s="2">
        <v>11374.30242335237</v>
      </c>
      <c r="K38" s="2">
        <v>1516573.6564469819</v>
      </c>
      <c r="L38" s="6">
        <v>7.2513776064628246</v>
      </c>
      <c r="M38" s="7">
        <v>1.4873619717823801</v>
      </c>
      <c r="N38" s="6">
        <v>0.17098636867523001</v>
      </c>
      <c r="O38" s="2">
        <v>29019.712012642369</v>
      </c>
      <c r="P38" s="2">
        <v>314.9625723203838</v>
      </c>
      <c r="Q38" s="2">
        <v>15572.55774364358</v>
      </c>
      <c r="R38" s="3">
        <v>1.026825019506593E-2</v>
      </c>
      <c r="S38" s="2">
        <v>53.854306509671929</v>
      </c>
      <c r="T38" s="7">
        <v>40019.584674198188</v>
      </c>
      <c r="U38" t="s">
        <v>55</v>
      </c>
      <c r="V38" s="5">
        <v>0.17274122180370169</v>
      </c>
      <c r="W38">
        <f t="shared" si="3"/>
        <v>43863.145688797187</v>
      </c>
      <c r="X38">
        <f t="shared" si="4"/>
        <v>0.91237379457760459</v>
      </c>
      <c r="Y38">
        <f t="shared" si="2"/>
        <v>1.0849074691566059</v>
      </c>
    </row>
    <row r="39" spans="1:25" x14ac:dyDescent="0.25">
      <c r="A39" t="s">
        <v>32</v>
      </c>
      <c r="B39" s="9">
        <v>45835</v>
      </c>
      <c r="C39" s="2">
        <v>49.422798156738281</v>
      </c>
      <c r="D39" s="3">
        <v>7.297081167532987E-3</v>
      </c>
      <c r="E39" s="4">
        <v>0.33900123294400841</v>
      </c>
      <c r="F39" s="5">
        <v>3.3900123294400841E-3</v>
      </c>
      <c r="G39" s="4">
        <v>5.3814777390847377</v>
      </c>
      <c r="H39" s="5">
        <v>5.3814777390847383E-2</v>
      </c>
      <c r="I39" s="3">
        <v>0.12</v>
      </c>
      <c r="J39" s="2">
        <v>11355.400606645249</v>
      </c>
      <c r="K39" s="2">
        <v>1514053.4142193659</v>
      </c>
      <c r="L39" s="6">
        <v>6.8405880360628366</v>
      </c>
      <c r="M39" s="7">
        <v>1.4872389029555371</v>
      </c>
      <c r="N39" s="6">
        <v>0.1675438951067714</v>
      </c>
      <c r="O39" s="2">
        <v>27375.749213052379</v>
      </c>
      <c r="P39" s="2">
        <v>297.09540016849962</v>
      </c>
      <c r="Q39" s="2">
        <v>14683.285995823149</v>
      </c>
      <c r="R39" s="3">
        <v>9.6979973479956304E-3</v>
      </c>
      <c r="S39" s="2">
        <v>49.776520562535389</v>
      </c>
      <c r="T39" s="7">
        <v>40019.584674198188</v>
      </c>
      <c r="U39" t="s">
        <v>55</v>
      </c>
      <c r="V39" s="5">
        <v>0.16933111844190629</v>
      </c>
      <c r="W39">
        <f t="shared" si="3"/>
        <v>44764.388432180371</v>
      </c>
      <c r="X39">
        <f t="shared" si="4"/>
        <v>0.89400494624938909</v>
      </c>
      <c r="Y39">
        <f t="shared" si="2"/>
        <v>1.1067560616766934</v>
      </c>
    </row>
    <row r="40" spans="1:25" x14ac:dyDescent="0.25">
      <c r="A40" t="s">
        <v>32</v>
      </c>
      <c r="B40" s="9">
        <v>45838</v>
      </c>
      <c r="C40" s="2">
        <v>49.640296936035163</v>
      </c>
      <c r="D40" s="3">
        <v>7.297081167532987E-3</v>
      </c>
      <c r="E40" s="4">
        <v>0.34490548079601052</v>
      </c>
      <c r="F40" s="5">
        <v>3.4490548079601051E-3</v>
      </c>
      <c r="G40" s="4">
        <v>5.4752047680564466</v>
      </c>
      <c r="H40" s="5">
        <v>5.4752047680564457E-2</v>
      </c>
      <c r="I40" s="3">
        <v>0.12</v>
      </c>
      <c r="J40" s="2">
        <v>11453.77531950497</v>
      </c>
      <c r="K40" s="2">
        <v>1527170.0426006629</v>
      </c>
      <c r="L40" s="6">
        <v>7.9878374341468943</v>
      </c>
      <c r="M40" s="7">
        <v>1.487117787602136</v>
      </c>
      <c r="N40" s="6">
        <v>0.17121210481579929</v>
      </c>
      <c r="O40" s="2">
        <v>31966.993655957169</v>
      </c>
      <c r="P40" s="2">
        <v>346.8936421467784</v>
      </c>
      <c r="Q40" s="2">
        <v>17219.903401388801</v>
      </c>
      <c r="R40" s="3">
        <v>1.127569486110697E-2</v>
      </c>
      <c r="S40" s="2">
        <v>59.392390619168602</v>
      </c>
      <c r="T40" s="7">
        <v>40019.584674198188</v>
      </c>
      <c r="U40" t="s">
        <v>55</v>
      </c>
      <c r="V40" s="5">
        <v>0.17228029028902719</v>
      </c>
      <c r="W40">
        <f t="shared" si="3"/>
        <v>43805.313929578559</v>
      </c>
      <c r="X40">
        <f t="shared" si="4"/>
        <v>0.91357831012314372</v>
      </c>
      <c r="Y40">
        <f t="shared" si="2"/>
        <v>1.0878101113694851</v>
      </c>
    </row>
    <row r="41" spans="1:25" x14ac:dyDescent="0.25">
      <c r="A41" t="s">
        <v>32</v>
      </c>
      <c r="B41" s="9">
        <v>45839</v>
      </c>
      <c r="C41" s="2">
        <v>49.678009033203118</v>
      </c>
      <c r="D41" s="3">
        <v>7.297081167532987E-3</v>
      </c>
      <c r="E41" s="4">
        <v>0.33810201651027982</v>
      </c>
      <c r="F41" s="5">
        <v>3.381020165102798E-3</v>
      </c>
      <c r="G41" s="4">
        <v>5.3672031207339277</v>
      </c>
      <c r="H41" s="5">
        <v>5.367203120733928E-2</v>
      </c>
      <c r="I41" s="3">
        <v>0.12</v>
      </c>
      <c r="J41" s="2">
        <v>11472.799070400501</v>
      </c>
      <c r="K41" s="2">
        <v>1529706.5427200671</v>
      </c>
      <c r="L41" s="6">
        <v>8.6519418139091506</v>
      </c>
      <c r="M41" s="7">
        <v>1.486998594714662</v>
      </c>
      <c r="N41" s="6">
        <v>0.16796235030341869</v>
      </c>
      <c r="O41" s="2">
        <v>34624.711801797319</v>
      </c>
      <c r="P41" s="2">
        <v>375.7040722135385</v>
      </c>
      <c r="Q41" s="2">
        <v>18664.23029323536</v>
      </c>
      <c r="R41" s="3">
        <v>1.2201183542071619E-2</v>
      </c>
      <c r="S41" s="2">
        <v>63.104138987551259</v>
      </c>
      <c r="T41" s="7">
        <v>40019.584674198188</v>
      </c>
      <c r="U41" t="s">
        <v>55</v>
      </c>
      <c r="V41" s="5">
        <v>0.16888195982639839</v>
      </c>
      <c r="W41">
        <f t="shared" si="3"/>
        <v>44652.864088002381</v>
      </c>
      <c r="X41">
        <f t="shared" si="4"/>
        <v>0.89623780000600017</v>
      </c>
      <c r="Y41">
        <f t="shared" si="2"/>
        <v>1.1096995911151168</v>
      </c>
    </row>
    <row r="42" spans="1:25" x14ac:dyDescent="0.25">
      <c r="A42" t="s">
        <v>32</v>
      </c>
      <c r="B42" s="9">
        <v>45840</v>
      </c>
      <c r="C42" s="2">
        <v>49.747474670410163</v>
      </c>
      <c r="D42" s="3">
        <v>7.297081167532987E-3</v>
      </c>
      <c r="E42" s="4">
        <v>0.33215785758639438</v>
      </c>
      <c r="F42" s="5">
        <v>3.3215785758639441E-3</v>
      </c>
      <c r="G42" s="4">
        <v>5.2728425231376521</v>
      </c>
      <c r="H42" s="5">
        <v>5.2728425231376518E-2</v>
      </c>
      <c r="I42" s="3">
        <v>0.12</v>
      </c>
      <c r="J42" s="2">
        <v>11472.531288451421</v>
      </c>
      <c r="K42" s="2">
        <v>1529670.8384601891</v>
      </c>
      <c r="L42" s="6">
        <v>9.1833328638419474</v>
      </c>
      <c r="M42" s="7">
        <v>1.486881293777782</v>
      </c>
      <c r="N42" s="6">
        <v>0.1652401460685686</v>
      </c>
      <c r="O42" s="2">
        <v>36751.316713586981</v>
      </c>
      <c r="P42" s="2">
        <v>398.74787181773621</v>
      </c>
      <c r="Q42" s="2">
        <v>19836.69965313279</v>
      </c>
      <c r="R42" s="3">
        <v>1.296795307485955E-2</v>
      </c>
      <c r="S42" s="2">
        <v>65.889156583693605</v>
      </c>
      <c r="T42" s="7">
        <v>40019.584674198188</v>
      </c>
      <c r="U42" t="s">
        <v>55</v>
      </c>
      <c r="V42" s="5">
        <v>0.16591285239856729</v>
      </c>
      <c r="W42">
        <f t="shared" si="3"/>
        <v>45388.48565824781</v>
      </c>
      <c r="X42">
        <f t="shared" si="4"/>
        <v>0.88171226895572785</v>
      </c>
      <c r="Y42">
        <f t="shared" si="2"/>
        <v>1.1295583136372636</v>
      </c>
    </row>
    <row r="43" spans="1:25" x14ac:dyDescent="0.25">
      <c r="A43" t="s">
        <v>32</v>
      </c>
      <c r="B43" s="9">
        <v>45841</v>
      </c>
      <c r="C43" s="2">
        <v>49.777244567871087</v>
      </c>
      <c r="D43" s="3">
        <v>7.297081167532987E-3</v>
      </c>
      <c r="E43" s="4">
        <v>0.32573678890745611</v>
      </c>
      <c r="F43" s="5">
        <v>3.2573678890745611E-3</v>
      </c>
      <c r="G43" s="4">
        <v>5.1709112178832308</v>
      </c>
      <c r="H43" s="5">
        <v>5.1709112178832312E-2</v>
      </c>
      <c r="I43" s="3">
        <v>0.12</v>
      </c>
      <c r="J43" s="2">
        <v>11493.69454475796</v>
      </c>
      <c r="K43" s="2">
        <v>1532492.605967728</v>
      </c>
      <c r="L43" s="6">
        <v>9.5776075014498865</v>
      </c>
      <c r="M43" s="7">
        <v>1.486765854760536</v>
      </c>
      <c r="N43" s="6">
        <v>0.16214279806199439</v>
      </c>
      <c r="O43" s="2">
        <v>38329.187438050947</v>
      </c>
      <c r="P43" s="2">
        <v>415.83531383738818</v>
      </c>
      <c r="Q43" s="2">
        <v>20699.136116841099</v>
      </c>
      <c r="R43" s="3">
        <v>1.350684240578775E-2</v>
      </c>
      <c r="S43" s="2">
        <v>67.424701318581697</v>
      </c>
      <c r="T43" s="7">
        <v>40019.584674198188</v>
      </c>
      <c r="U43" t="s">
        <v>55</v>
      </c>
      <c r="V43" s="5">
        <v>0.16270552854444881</v>
      </c>
      <c r="W43">
        <f t="shared" si="3"/>
        <v>46255.52346230275</v>
      </c>
      <c r="X43">
        <f t="shared" si="4"/>
        <v>0.86518499151378714</v>
      </c>
      <c r="Y43">
        <f t="shared" si="2"/>
        <v>1.15182467026544</v>
      </c>
    </row>
    <row r="44" spans="1:25" x14ac:dyDescent="0.25">
      <c r="A44" t="s">
        <v>32</v>
      </c>
      <c r="B44" s="9">
        <v>45842</v>
      </c>
      <c r="D44" s="3">
        <v>7.297081167532987E-3</v>
      </c>
      <c r="E44" s="4">
        <v>0.32569518812903392</v>
      </c>
      <c r="F44" s="5">
        <v>3.256951881290339E-3</v>
      </c>
      <c r="G44" s="4">
        <v>5.1702508259989202</v>
      </c>
      <c r="H44" s="5">
        <v>5.1702508259989198E-2</v>
      </c>
      <c r="I44" s="3">
        <v>0.12</v>
      </c>
      <c r="J44" s="2">
        <v>11493.607846543629</v>
      </c>
      <c r="K44" s="2">
        <v>1532481.046205817</v>
      </c>
      <c r="L44" s="6">
        <v>9.5744500345103223</v>
      </c>
      <c r="M44" s="7">
        <v>1.486652248108643</v>
      </c>
      <c r="O44" s="2">
        <v>38316.551386496561</v>
      </c>
      <c r="P44" s="2">
        <v>415.66646036415119</v>
      </c>
      <c r="T44" s="7">
        <v>40019.584674198188</v>
      </c>
      <c r="U44" t="s">
        <v>55</v>
      </c>
      <c r="V44" s="5">
        <v>0.16268474895530949</v>
      </c>
      <c r="W44" t="e">
        <f t="shared" si="3"/>
        <v>#DIV/0!</v>
      </c>
      <c r="X44" t="e">
        <f t="shared" si="4"/>
        <v>#DIV/0!</v>
      </c>
      <c r="Y44">
        <f t="shared" si="2"/>
        <v>1.1519717918829389</v>
      </c>
    </row>
    <row r="45" spans="1:25" x14ac:dyDescent="0.25">
      <c r="A45" t="s">
        <v>32</v>
      </c>
      <c r="B45" s="9">
        <v>45845</v>
      </c>
      <c r="C45" s="2">
        <v>49.56884765625</v>
      </c>
      <c r="D45" s="3">
        <v>7.297081167532987E-3</v>
      </c>
      <c r="E45" s="4">
        <v>0.32565363799120689</v>
      </c>
      <c r="F45" s="5">
        <v>3.2565363799120701E-3</v>
      </c>
      <c r="G45" s="4">
        <v>5.1695912380091356</v>
      </c>
      <c r="H45" s="5">
        <v>5.1695912380091358E-2</v>
      </c>
      <c r="I45" s="3">
        <v>0.12</v>
      </c>
      <c r="J45" s="2">
        <v>11345.62805807682</v>
      </c>
      <c r="K45" s="2">
        <v>1512750.407743576</v>
      </c>
      <c r="L45" s="6">
        <v>3.1168938439787421</v>
      </c>
      <c r="M45" s="7">
        <v>1.4865404447369379</v>
      </c>
      <c r="N45" s="6">
        <v>0.16142275570289721</v>
      </c>
      <c r="O45" s="2">
        <v>12473.679710959441</v>
      </c>
      <c r="P45" s="2">
        <v>135.3070716696659</v>
      </c>
      <c r="Q45" s="2">
        <v>6707.0156224069679</v>
      </c>
      <c r="R45" s="3">
        <v>4.4336564631380117E-3</v>
      </c>
      <c r="S45" s="2">
        <v>21.841640375006879</v>
      </c>
      <c r="T45" s="7">
        <v>40019.584674198188</v>
      </c>
      <c r="U45" t="s">
        <v>55</v>
      </c>
      <c r="V45" s="5">
        <v>0.16266399466114789</v>
      </c>
      <c r="W45">
        <f t="shared" si="3"/>
        <v>46461.85085455946</v>
      </c>
      <c r="X45">
        <f t="shared" si="4"/>
        <v>0.8613428853592674</v>
      </c>
      <c r="Y45">
        <f t="shared" si="2"/>
        <v>1.1521187719290418</v>
      </c>
    </row>
    <row r="46" spans="1:25" x14ac:dyDescent="0.25">
      <c r="A46" t="s">
        <v>32</v>
      </c>
      <c r="B46" s="9">
        <v>45846</v>
      </c>
      <c r="C46" s="2">
        <v>49.519229888916023</v>
      </c>
      <c r="D46" s="3">
        <v>7.297081167532987E-3</v>
      </c>
      <c r="E46" s="4">
        <v>0.32054911060675101</v>
      </c>
      <c r="F46" s="5">
        <v>3.2054911060675089E-3</v>
      </c>
      <c r="G46" s="4">
        <v>5.088559377890399</v>
      </c>
      <c r="H46" s="5">
        <v>5.088559377890399E-2</v>
      </c>
      <c r="I46" s="3">
        <v>0.12</v>
      </c>
      <c r="J46" s="2">
        <v>11345.818958213529</v>
      </c>
      <c r="K46" s="2">
        <v>1512775.8610951379</v>
      </c>
      <c r="L46" s="6">
        <v>0.65318834830734362</v>
      </c>
      <c r="M46" s="7">
        <v>1.486430416021927</v>
      </c>
      <c r="N46" s="6">
        <v>0.15873345098823269</v>
      </c>
      <c r="O46" s="2">
        <v>2614.0326413285402</v>
      </c>
      <c r="P46" s="2">
        <v>28.353375321086389</v>
      </c>
      <c r="Q46" s="2">
        <v>1404.0373106515949</v>
      </c>
      <c r="R46" s="3">
        <v>9.2811985354867806E-4</v>
      </c>
      <c r="S46" s="2">
        <v>4.5006291118806319</v>
      </c>
      <c r="T46" s="7">
        <v>40019.584674198188</v>
      </c>
      <c r="U46" t="s">
        <v>55</v>
      </c>
      <c r="V46" s="5">
        <v>0.16011428319366769</v>
      </c>
      <c r="W46">
        <f t="shared" si="3"/>
        <v>47249.019997404299</v>
      </c>
      <c r="X46">
        <f t="shared" si="4"/>
        <v>0.84699290432683527</v>
      </c>
      <c r="Y46">
        <f t="shared" si="2"/>
        <v>1.1704654827039545</v>
      </c>
    </row>
    <row r="47" spans="1:25" x14ac:dyDescent="0.25">
      <c r="A47" t="s">
        <v>32</v>
      </c>
      <c r="B47" s="9">
        <v>45847</v>
      </c>
      <c r="C47" s="2">
        <v>49.628387451171882</v>
      </c>
      <c r="D47" s="3">
        <v>7.297081167532987E-3</v>
      </c>
      <c r="E47" s="4">
        <v>0.31671044146998761</v>
      </c>
      <c r="F47" s="5">
        <v>3.167104414699876E-3</v>
      </c>
      <c r="G47" s="4">
        <v>5.027622394482389</v>
      </c>
      <c r="H47" s="5">
        <v>5.0276223944823888E-2</v>
      </c>
      <c r="I47" s="3">
        <v>0.12</v>
      </c>
      <c r="J47" s="2">
        <v>11405.96652409076</v>
      </c>
      <c r="K47" s="2">
        <v>1520795.536545435</v>
      </c>
      <c r="L47" s="6">
        <v>2.2743832133226429</v>
      </c>
      <c r="M47" s="7">
        <v>1.486322133794457</v>
      </c>
      <c r="N47" s="6">
        <v>0.15717828499104239</v>
      </c>
      <c r="O47" s="2">
        <v>9101.9871587140497</v>
      </c>
      <c r="P47" s="2">
        <v>98.718452931266327</v>
      </c>
      <c r="Q47" s="2">
        <v>4899.2376306531596</v>
      </c>
      <c r="R47" s="3">
        <v>3.2214965870967969E-3</v>
      </c>
      <c r="S47" s="2">
        <v>15.51639712870538</v>
      </c>
      <c r="T47" s="7">
        <v>40019.584674198188</v>
      </c>
      <c r="U47" t="s">
        <v>55</v>
      </c>
      <c r="V47" s="5">
        <v>0.1581968679305677</v>
      </c>
      <c r="W47">
        <f t="shared" si="3"/>
        <v>47716.515041676568</v>
      </c>
      <c r="X47">
        <f t="shared" si="4"/>
        <v>0.83869462468590328</v>
      </c>
      <c r="Y47">
        <f t="shared" si="2"/>
        <v>1.1846520365265829</v>
      </c>
    </row>
    <row r="48" spans="1:25" x14ac:dyDescent="0.25">
      <c r="A48" t="s">
        <v>32</v>
      </c>
      <c r="B48" s="9">
        <v>45848</v>
      </c>
      <c r="C48" s="2">
        <v>49.519229888916023</v>
      </c>
      <c r="D48" s="3">
        <v>7.297081167532987E-3</v>
      </c>
      <c r="E48" s="4">
        <v>0.31627656947742089</v>
      </c>
      <c r="F48" s="5">
        <v>3.1627656947742101E-3</v>
      </c>
      <c r="G48" s="4">
        <v>5.0207348901233857</v>
      </c>
      <c r="H48" s="5">
        <v>5.0207348901233857E-2</v>
      </c>
      <c r="I48" s="3">
        <v>0.12</v>
      </c>
      <c r="J48" s="2">
        <v>11408.1603560659</v>
      </c>
      <c r="K48" s="2">
        <v>1521088.047475453</v>
      </c>
      <c r="L48" s="6">
        <v>-0.30855903928104728</v>
      </c>
      <c r="M48" s="7">
        <v>1.4862155703325011</v>
      </c>
      <c r="N48" s="6">
        <v>0.15661772152430131</v>
      </c>
      <c r="O48" s="2">
        <v>-1234.8404599497121</v>
      </c>
      <c r="P48" s="2">
        <v>-13.39188880801726</v>
      </c>
      <c r="Q48" s="2">
        <v>663.15602053100815</v>
      </c>
      <c r="R48" s="3">
        <v>4.3597477583999609E-4</v>
      </c>
      <c r="S48" s="2">
        <v>2.0974071120184541</v>
      </c>
      <c r="T48" s="7">
        <v>40019.584674198188</v>
      </c>
      <c r="U48" t="s">
        <v>55</v>
      </c>
      <c r="V48" s="5">
        <v>0.15798014886697051</v>
      </c>
      <c r="W48">
        <f t="shared" si="3"/>
        <v>47887.301175150067</v>
      </c>
      <c r="X48">
        <f t="shared" si="4"/>
        <v>0.83570348906956915</v>
      </c>
      <c r="Y48">
        <f t="shared" si="2"/>
        <v>1.1862771564032626</v>
      </c>
    </row>
    <row r="49" spans="1:25" x14ac:dyDescent="0.25">
      <c r="A49" t="s">
        <v>32</v>
      </c>
      <c r="B49" s="9">
        <v>45849</v>
      </c>
      <c r="C49" s="2">
        <v>49.281059265136719</v>
      </c>
      <c r="D49" s="3">
        <v>7.297081167532987E-3</v>
      </c>
      <c r="E49" s="4">
        <v>0.33058992233374218</v>
      </c>
      <c r="F49" s="5">
        <v>3.3058992233374221E-3</v>
      </c>
      <c r="G49" s="4">
        <v>5.2479523226354372</v>
      </c>
      <c r="H49" s="5">
        <v>5.2479523226354373E-2</v>
      </c>
      <c r="I49" s="3">
        <v>0.12</v>
      </c>
      <c r="J49" s="2">
        <v>11352.29831251513</v>
      </c>
      <c r="K49" s="2">
        <v>1513639.7750020181</v>
      </c>
      <c r="L49" s="6">
        <v>-4.7497642563797022</v>
      </c>
      <c r="M49" s="7">
        <v>1.4861106983540691</v>
      </c>
      <c r="N49" s="6">
        <v>0.16291821554986091</v>
      </c>
      <c r="O49" s="2">
        <v>-19008.359284066752</v>
      </c>
      <c r="P49" s="2">
        <v>-206.1317877256804</v>
      </c>
      <c r="Q49" s="2">
        <v>10158.39284733784</v>
      </c>
      <c r="R49" s="3">
        <v>6.711235404291813E-3</v>
      </c>
      <c r="S49" s="2">
        <v>33.582623024370577</v>
      </c>
      <c r="T49" s="7">
        <v>40019.584674198188</v>
      </c>
      <c r="U49" t="s">
        <v>55</v>
      </c>
      <c r="V49" s="5">
        <v>0.16512966872790519</v>
      </c>
      <c r="W49">
        <f t="shared" si="3"/>
        <v>46035.367958622366</v>
      </c>
      <c r="X49">
        <f t="shared" si="4"/>
        <v>0.86932257628892418</v>
      </c>
      <c r="Y49">
        <f t="shared" si="2"/>
        <v>1.1349156284863537</v>
      </c>
    </row>
    <row r="50" spans="1:25" x14ac:dyDescent="0.25">
      <c r="A50" t="s">
        <v>32</v>
      </c>
      <c r="B50" s="9">
        <v>45852</v>
      </c>
      <c r="C50" s="2">
        <v>49.1322021484375</v>
      </c>
      <c r="D50" s="3">
        <v>7.297081167532987E-3</v>
      </c>
      <c r="E50" s="4">
        <v>0.33052890185520672</v>
      </c>
      <c r="F50" s="5">
        <v>3.3052890185520669E-3</v>
      </c>
      <c r="G50" s="4">
        <v>5.2469836525689164</v>
      </c>
      <c r="H50" s="5">
        <v>5.2469836525689158E-2</v>
      </c>
      <c r="I50" s="3">
        <v>0.12</v>
      </c>
      <c r="J50" s="2">
        <v>11358.429135185959</v>
      </c>
      <c r="K50" s="2">
        <v>1514457.2180247949</v>
      </c>
      <c r="L50" s="6">
        <v>-7.1776116955008717</v>
      </c>
      <c r="M50" s="7">
        <v>1.486007491010215</v>
      </c>
      <c r="N50" s="6">
        <v>0.16239612821851079</v>
      </c>
      <c r="O50" s="2">
        <v>-28724.503900661239</v>
      </c>
      <c r="P50" s="2">
        <v>-311.47465430699259</v>
      </c>
      <c r="Q50" s="2">
        <v>15303.43567952585</v>
      </c>
      <c r="R50" s="3">
        <v>1.0104897977563939E-2</v>
      </c>
      <c r="S50" s="2">
        <v>50.582277897654691</v>
      </c>
      <c r="T50" s="7">
        <v>40019.584674198188</v>
      </c>
      <c r="U50" t="s">
        <v>55</v>
      </c>
      <c r="V50" s="5">
        <v>0.16509918899841119</v>
      </c>
      <c r="W50">
        <f t="shared" si="3"/>
        <v>46183.367068385021</v>
      </c>
      <c r="X50">
        <f t="shared" si="4"/>
        <v>0.86653674720035145</v>
      </c>
      <c r="Y50">
        <f t="shared" si="2"/>
        <v>1.1351251505413356</v>
      </c>
    </row>
    <row r="51" spans="1:25" x14ac:dyDescent="0.25">
      <c r="A51" t="s">
        <v>32</v>
      </c>
      <c r="B51" s="9">
        <v>45853</v>
      </c>
      <c r="C51" s="2">
        <v>49.003196716308587</v>
      </c>
      <c r="D51" s="3">
        <v>7.297081167532987E-3</v>
      </c>
      <c r="E51" s="4">
        <v>0.32810910793063841</v>
      </c>
      <c r="F51" s="5">
        <v>3.2810910793063829E-3</v>
      </c>
      <c r="G51" s="4">
        <v>5.208570614878318</v>
      </c>
      <c r="H51" s="5">
        <v>5.2085706148783183E-2</v>
      </c>
      <c r="I51" s="3">
        <v>0.12</v>
      </c>
      <c r="J51" s="2">
        <v>11309.002685115909</v>
      </c>
      <c r="K51" s="2">
        <v>1507867.0246821209</v>
      </c>
      <c r="L51" s="6">
        <v>-8.7917400805587498</v>
      </c>
      <c r="M51" s="7">
        <v>1.4859059218781681</v>
      </c>
      <c r="N51" s="6">
        <v>0.160783951603376</v>
      </c>
      <c r="O51" s="2">
        <v>-35184.178658746292</v>
      </c>
      <c r="P51" s="2">
        <v>-381.49417210511581</v>
      </c>
      <c r="Q51" s="2">
        <v>18694.433961792271</v>
      </c>
      <c r="R51" s="3">
        <v>1.2397932745915261E-2</v>
      </c>
      <c r="S51" s="2">
        <v>61.338140504718922</v>
      </c>
      <c r="T51" s="7">
        <v>40019.584674198188</v>
      </c>
      <c r="U51" t="s">
        <v>55</v>
      </c>
      <c r="V51" s="5">
        <v>0.1638905019146277</v>
      </c>
      <c r="W51">
        <f t="shared" si="3"/>
        <v>46646.446521609963</v>
      </c>
      <c r="X51">
        <f t="shared" si="4"/>
        <v>0.85793426205913159</v>
      </c>
      <c r="Y51">
        <f t="shared" si="2"/>
        <v>1.1434966613482997</v>
      </c>
    </row>
    <row r="52" spans="1:25" x14ac:dyDescent="0.25">
      <c r="A52" t="s">
        <v>32</v>
      </c>
      <c r="B52" s="9">
        <v>45854</v>
      </c>
      <c r="C52" s="2">
        <v>48.834491729736328</v>
      </c>
      <c r="D52" s="3">
        <v>7.297081167532987E-3</v>
      </c>
      <c r="E52" s="4">
        <v>0.32843884143652369</v>
      </c>
      <c r="F52" s="5">
        <v>3.2843884143652371E-3</v>
      </c>
      <c r="G52" s="4">
        <v>5.2138049720113067</v>
      </c>
      <c r="H52" s="5">
        <v>5.2138049720113072E-2</v>
      </c>
      <c r="I52" s="3">
        <v>0.12</v>
      </c>
      <c r="J52" s="2">
        <v>11340.015607123411</v>
      </c>
      <c r="K52" s="2">
        <v>1512002.080949788</v>
      </c>
      <c r="L52" s="6">
        <v>-10.19457832846229</v>
      </c>
      <c r="M52" s="7">
        <v>1.4858059649545661</v>
      </c>
      <c r="N52" s="6">
        <v>0.160391438858561</v>
      </c>
      <c r="O52" s="2">
        <v>-40798.279063364258</v>
      </c>
      <c r="P52" s="2">
        <v>-442.33684788778419</v>
      </c>
      <c r="Q52" s="2">
        <v>21601.295139933631</v>
      </c>
      <c r="R52" s="3">
        <v>1.428655119731346E-2</v>
      </c>
      <c r="S52" s="2">
        <v>70.947043492882131</v>
      </c>
      <c r="T52" s="7">
        <v>40019.584674198188</v>
      </c>
      <c r="U52" t="s">
        <v>55</v>
      </c>
      <c r="V52" s="5">
        <v>0.16405520380333311</v>
      </c>
      <c r="W52">
        <f t="shared" si="3"/>
        <v>46760.60052440688</v>
      </c>
      <c r="X52">
        <f t="shared" si="4"/>
        <v>0.85583983578888834</v>
      </c>
      <c r="Y52">
        <f t="shared" si="2"/>
        <v>1.1423486571674744</v>
      </c>
    </row>
    <row r="53" spans="1:25" x14ac:dyDescent="0.25">
      <c r="A53" t="s">
        <v>32</v>
      </c>
      <c r="B53" s="9">
        <v>45855</v>
      </c>
      <c r="C53" s="2">
        <v>48.566555023193359</v>
      </c>
      <c r="D53" s="3">
        <v>7.297081167532987E-3</v>
      </c>
      <c r="E53" s="4">
        <v>0.33889547129885039</v>
      </c>
      <c r="F53" s="5">
        <v>3.3889547129885042E-3</v>
      </c>
      <c r="G53" s="4">
        <v>5.3797988250167146</v>
      </c>
      <c r="H53" s="5">
        <v>5.3797988250167149E-2</v>
      </c>
      <c r="I53" s="3">
        <v>0.12</v>
      </c>
      <c r="J53" s="2">
        <v>11361.607679151481</v>
      </c>
      <c r="K53" s="2">
        <v>1514881.0238868641</v>
      </c>
      <c r="L53" s="6">
        <v>-11.52312519355986</v>
      </c>
      <c r="M53" s="7">
        <v>1.485707594648799</v>
      </c>
      <c r="N53" s="6">
        <v>0.16458985553946659</v>
      </c>
      <c r="O53" s="2">
        <v>-46115.068439505507</v>
      </c>
      <c r="P53" s="2">
        <v>-499.94862459051672</v>
      </c>
      <c r="Q53" s="2">
        <v>24280.782384945171</v>
      </c>
      <c r="R53" s="3">
        <v>1.6028177792237319E-2</v>
      </c>
      <c r="S53" s="2">
        <v>82.286471898508168</v>
      </c>
      <c r="T53" s="7">
        <v>40019.584674198188</v>
      </c>
      <c r="U53" t="s">
        <v>55</v>
      </c>
      <c r="V53" s="5">
        <v>0.16927829049934301</v>
      </c>
      <c r="W53">
        <f t="shared" si="3"/>
        <v>45567.814464735289</v>
      </c>
      <c r="X53">
        <f t="shared" si="4"/>
        <v>0.87824235470343104</v>
      </c>
      <c r="Y53">
        <f t="shared" si="2"/>
        <v>1.1071014553210017</v>
      </c>
    </row>
    <row r="54" spans="1:25" x14ac:dyDescent="0.25">
      <c r="A54" t="s">
        <v>32</v>
      </c>
      <c r="B54" s="9">
        <v>45856</v>
      </c>
      <c r="C54" s="2">
        <v>48.477237701416023</v>
      </c>
      <c r="D54" s="3">
        <v>7.297081167532987E-3</v>
      </c>
      <c r="E54" s="4">
        <v>0.33269620093899083</v>
      </c>
      <c r="F54" s="5">
        <v>3.3269620093899078E-3</v>
      </c>
      <c r="G54" s="4">
        <v>5.28138845892326</v>
      </c>
      <c r="H54" s="5">
        <v>5.2813884589232599E-2</v>
      </c>
      <c r="I54" s="3">
        <v>0.12</v>
      </c>
      <c r="J54" s="2">
        <v>11369.757196167029</v>
      </c>
      <c r="K54" s="2">
        <v>1515967.6261556039</v>
      </c>
      <c r="L54" s="6">
        <v>-12.39153781879418</v>
      </c>
      <c r="M54" s="7">
        <v>1.4856107857764571</v>
      </c>
      <c r="N54" s="6">
        <v>0.1612819281527752</v>
      </c>
      <c r="O54" s="2">
        <v>-49590.419698276281</v>
      </c>
      <c r="P54" s="2">
        <v>-537.59101888675752</v>
      </c>
      <c r="Q54" s="2">
        <v>26060.927608719769</v>
      </c>
      <c r="R54" s="3">
        <v>1.719095260286567E-2</v>
      </c>
      <c r="S54" s="2">
        <v>86.703716083671253</v>
      </c>
      <c r="T54" s="7">
        <v>40019.584674198188</v>
      </c>
      <c r="U54" t="s">
        <v>55</v>
      </c>
      <c r="V54" s="5">
        <v>0.1661817549072965</v>
      </c>
      <c r="W54">
        <f t="shared" si="3"/>
        <v>46502.420239517356</v>
      </c>
      <c r="X54">
        <f t="shared" si="4"/>
        <v>0.86059143735039167</v>
      </c>
      <c r="Y54">
        <f t="shared" si="2"/>
        <v>1.1277305494253473</v>
      </c>
    </row>
    <row r="55" spans="1:25" x14ac:dyDescent="0.25">
      <c r="A55" t="s">
        <v>32</v>
      </c>
      <c r="B55" s="9">
        <v>45859</v>
      </c>
      <c r="C55" s="2">
        <v>48.665794372558587</v>
      </c>
      <c r="D55" s="3">
        <v>7.297081167532987E-3</v>
      </c>
      <c r="E55" s="4">
        <v>0.34184238557331842</v>
      </c>
      <c r="F55" s="5">
        <v>3.4184238557331838E-3</v>
      </c>
      <c r="G55" s="4">
        <v>5.4265796388483274</v>
      </c>
      <c r="H55" s="5">
        <v>5.4265796388483271E-2</v>
      </c>
      <c r="I55" s="3">
        <v>0.12</v>
      </c>
      <c r="J55" s="2">
        <v>11398.782182031389</v>
      </c>
      <c r="K55" s="2">
        <v>1519837.624270852</v>
      </c>
      <c r="L55" s="6">
        <v>-11.256645208499259</v>
      </c>
      <c r="M55" s="7">
        <v>1.4855155135528819</v>
      </c>
      <c r="N55" s="6">
        <v>0.16636031244135999</v>
      </c>
      <c r="O55" s="2">
        <v>-45048.626606894351</v>
      </c>
      <c r="P55" s="2">
        <v>-488.32383635542539</v>
      </c>
      <c r="Q55" s="2">
        <v>23764.66740729208</v>
      </c>
      <c r="R55" s="3">
        <v>1.5636319977730039E-2</v>
      </c>
      <c r="S55" s="2">
        <v>81.237705988652138</v>
      </c>
      <c r="T55" s="7">
        <v>40019.584674198188</v>
      </c>
      <c r="U55" t="s">
        <v>55</v>
      </c>
      <c r="V55" s="5">
        <v>0.17075027420192301</v>
      </c>
      <c r="W55">
        <f t="shared" si="3"/>
        <v>45082.867962535587</v>
      </c>
      <c r="X55">
        <f t="shared" si="4"/>
        <v>0.88768941468974316</v>
      </c>
      <c r="Y55">
        <f t="shared" si="2"/>
        <v>1.0975574864638389</v>
      </c>
    </row>
    <row r="56" spans="1:25" x14ac:dyDescent="0.25">
      <c r="A56" t="s">
        <v>32</v>
      </c>
      <c r="B56" s="9">
        <v>45860</v>
      </c>
      <c r="C56" s="2">
        <v>48.655864715576172</v>
      </c>
      <c r="D56" s="3">
        <v>7.297081167532987E-3</v>
      </c>
      <c r="E56" s="4">
        <v>0.33515160264536298</v>
      </c>
      <c r="F56" s="5">
        <v>3.3515160264536302E-3</v>
      </c>
      <c r="G56" s="4">
        <v>5.3203667526262084</v>
      </c>
      <c r="H56" s="5">
        <v>5.3203667526262093E-2</v>
      </c>
      <c r="I56" s="3">
        <v>0.12</v>
      </c>
      <c r="J56" s="2">
        <v>11433.146152697111</v>
      </c>
      <c r="K56" s="2">
        <v>1524419.487026281</v>
      </c>
      <c r="L56" s="6">
        <v>-11.17010498115199</v>
      </c>
      <c r="M56" s="7">
        <v>1.4854217535868239</v>
      </c>
      <c r="N56" s="6">
        <v>0.16307091037521321</v>
      </c>
      <c r="O56" s="2">
        <v>-44702.296211289497</v>
      </c>
      <c r="P56" s="2">
        <v>-484.5390559012971</v>
      </c>
      <c r="Q56" s="2">
        <v>23575.666753346512</v>
      </c>
      <c r="R56" s="3">
        <v>1.546534071099818E-2</v>
      </c>
      <c r="S56" s="2">
        <v>79.014224958170857</v>
      </c>
      <c r="T56" s="7">
        <v>40019.584674198188</v>
      </c>
      <c r="U56" t="s">
        <v>55</v>
      </c>
      <c r="V56" s="5">
        <v>0.16740822807836259</v>
      </c>
      <c r="W56">
        <f t="shared" si="3"/>
        <v>45992.261788096323</v>
      </c>
      <c r="X56">
        <f t="shared" si="4"/>
        <v>0.87013734742125737</v>
      </c>
      <c r="Y56">
        <f t="shared" si="2"/>
        <v>1.1194685226484176</v>
      </c>
    </row>
    <row r="57" spans="1:25" x14ac:dyDescent="0.25">
      <c r="A57" t="s">
        <v>32</v>
      </c>
      <c r="B57" s="9">
        <v>45861</v>
      </c>
      <c r="C57" s="2">
        <v>48.586399078369141</v>
      </c>
      <c r="D57" s="3">
        <v>7.297081167532987E-3</v>
      </c>
      <c r="E57" s="4">
        <v>0.32902735070565048</v>
      </c>
      <c r="F57" s="5">
        <v>3.290273507056506E-3</v>
      </c>
      <c r="G57" s="4">
        <v>5.2231472670335028</v>
      </c>
      <c r="H57" s="5">
        <v>5.2231472670335032E-2</v>
      </c>
      <c r="I57" s="3">
        <v>0.12</v>
      </c>
      <c r="J57" s="2">
        <v>11467.47150991014</v>
      </c>
      <c r="K57" s="2">
        <v>1528996.201321352</v>
      </c>
      <c r="L57" s="6">
        <v>-11.81462844209195</v>
      </c>
      <c r="M57" s="7">
        <v>1.485329481874196</v>
      </c>
      <c r="N57" s="6">
        <v>0.15986254169083261</v>
      </c>
      <c r="O57" s="2">
        <v>-47281.652333248901</v>
      </c>
      <c r="P57" s="2">
        <v>-512.46548855052788</v>
      </c>
      <c r="Q57" s="2">
        <v>24898.852740607359</v>
      </c>
      <c r="R57" s="3">
        <v>1.6284443819474421E-2</v>
      </c>
      <c r="S57" s="2">
        <v>81.924035528521657</v>
      </c>
      <c r="T57" s="7">
        <v>40019.584674198188</v>
      </c>
      <c r="U57" t="s">
        <v>55</v>
      </c>
      <c r="V57" s="5">
        <v>0.16434916418775189</v>
      </c>
      <c r="W57">
        <f t="shared" si="3"/>
        <v>46915.305616150421</v>
      </c>
      <c r="X57">
        <f t="shared" si="4"/>
        <v>0.85301766979050853</v>
      </c>
      <c r="Y57">
        <f t="shared" si="2"/>
        <v>1.1403054143432054</v>
      </c>
    </row>
    <row r="58" spans="1:25" x14ac:dyDescent="0.25">
      <c r="A58" t="s">
        <v>32</v>
      </c>
      <c r="B58" s="9">
        <v>45862</v>
      </c>
      <c r="C58" s="2">
        <v>48.57647705078125</v>
      </c>
      <c r="D58" s="3">
        <v>7.297081167532987E-3</v>
      </c>
      <c r="E58" s="4">
        <v>0.32283008360832022</v>
      </c>
      <c r="F58" s="5">
        <v>3.2283008360832022E-3</v>
      </c>
      <c r="G58" s="4">
        <v>5.1247687017468282</v>
      </c>
      <c r="H58" s="5">
        <v>5.1247687017468277E-2</v>
      </c>
      <c r="I58" s="3">
        <v>0.12</v>
      </c>
      <c r="J58" s="2">
        <v>11419.211493711009</v>
      </c>
      <c r="K58" s="2">
        <v>1522561.5324948011</v>
      </c>
      <c r="L58" s="6">
        <v>-12.02245914456593</v>
      </c>
      <c r="M58" s="7">
        <v>1.4852386747919279</v>
      </c>
      <c r="N58" s="6">
        <v>0.15681948147701361</v>
      </c>
      <c r="O58" s="2">
        <v>-48113.382172804457</v>
      </c>
      <c r="P58" s="2">
        <v>-521.44836925348341</v>
      </c>
      <c r="Q58" s="2">
        <v>25330.12474220914</v>
      </c>
      <c r="R58" s="3">
        <v>1.6636519576784751E-2</v>
      </c>
      <c r="S58" s="2">
        <v>81.773262883365589</v>
      </c>
      <c r="T58" s="7">
        <v>40019.584674198188</v>
      </c>
      <c r="U58" t="s">
        <v>55</v>
      </c>
      <c r="V58" s="5">
        <v>0.16125362922535399</v>
      </c>
      <c r="W58">
        <f t="shared" si="3"/>
        <v>47825.690592525913</v>
      </c>
      <c r="X58">
        <f t="shared" si="4"/>
        <v>0.83678006900442659</v>
      </c>
      <c r="Y58">
        <f t="shared" si="2"/>
        <v>1.162195497033859</v>
      </c>
    </row>
    <row r="59" spans="1:25" x14ac:dyDescent="0.25">
      <c r="A59" t="s">
        <v>32</v>
      </c>
      <c r="B59" s="9">
        <v>45863</v>
      </c>
      <c r="C59" s="2">
        <v>48.645942687988281</v>
      </c>
      <c r="D59" s="3">
        <v>7.297081167532987E-3</v>
      </c>
      <c r="E59" s="4">
        <v>0.31975810781224789</v>
      </c>
      <c r="F59" s="5">
        <v>3.1975810781224791E-3</v>
      </c>
      <c r="G59" s="4">
        <v>5.0760025978067258</v>
      </c>
      <c r="H59" s="5">
        <v>5.0760025978067259E-2</v>
      </c>
      <c r="I59" s="3">
        <v>0.12</v>
      </c>
      <c r="J59" s="2">
        <v>11405.41956561927</v>
      </c>
      <c r="K59" s="2">
        <v>1520722.608749236</v>
      </c>
      <c r="L59" s="6">
        <v>-10.77367064039224</v>
      </c>
      <c r="M59" s="7">
        <v>1.485149309091917</v>
      </c>
      <c r="N59" s="6">
        <v>0.1555493458665419</v>
      </c>
      <c r="O59" s="2">
        <v>-43115.782444510041</v>
      </c>
      <c r="P59" s="2">
        <v>-467.2567311846999</v>
      </c>
      <c r="Q59" s="2">
        <v>22730.14416578766</v>
      </c>
      <c r="R59" s="3">
        <v>1.4946936433385931E-2</v>
      </c>
      <c r="S59" s="2">
        <v>72.681478887518679</v>
      </c>
      <c r="T59" s="7">
        <v>40019.584674198188</v>
      </c>
      <c r="U59" t="s">
        <v>55</v>
      </c>
      <c r="V59" s="5">
        <v>0.15971917729177859</v>
      </c>
      <c r="W59">
        <f t="shared" si="3"/>
        <v>48216.210477894543</v>
      </c>
      <c r="X59">
        <f t="shared" si="4"/>
        <v>0.83000269572296181</v>
      </c>
      <c r="Y59">
        <f t="shared" si="2"/>
        <v>1.1733609259939544</v>
      </c>
    </row>
    <row r="60" spans="1:25" x14ac:dyDescent="0.25">
      <c r="A60" t="s">
        <v>32</v>
      </c>
      <c r="B60" s="9">
        <v>45866</v>
      </c>
      <c r="C60" s="2">
        <v>48.616176605224609</v>
      </c>
      <c r="D60" s="3">
        <v>7.297081167532987E-3</v>
      </c>
      <c r="E60" s="4">
        <v>0.31376331961367809</v>
      </c>
      <c r="F60" s="5">
        <v>3.1376331961367821E-3</v>
      </c>
      <c r="G60" s="4">
        <v>4.9808382853912034</v>
      </c>
      <c r="H60" s="5">
        <v>4.9808382853912037E-2</v>
      </c>
      <c r="I60" s="3">
        <v>0.12</v>
      </c>
      <c r="J60" s="2">
        <v>11294.56372885231</v>
      </c>
      <c r="K60" s="2">
        <v>1505941.830513641</v>
      </c>
      <c r="L60" s="6">
        <v>-10.40058825557926</v>
      </c>
      <c r="M60" s="7">
        <v>1.485061361895081</v>
      </c>
      <c r="N60" s="6">
        <v>0.15253972958580109</v>
      </c>
      <c r="O60" s="2">
        <v>-41622.722235562527</v>
      </c>
      <c r="P60" s="2">
        <v>-451.04934518249308</v>
      </c>
      <c r="Q60" s="2">
        <v>21928.294623063</v>
      </c>
      <c r="R60" s="3">
        <v>1.4561183027623169E-2</v>
      </c>
      <c r="S60" s="2">
        <v>68.802945143990172</v>
      </c>
      <c r="T60" s="7">
        <v>40019.584674198188</v>
      </c>
      <c r="U60" t="s">
        <v>55</v>
      </c>
      <c r="V60" s="5">
        <v>0.1567247805408564</v>
      </c>
      <c r="W60">
        <f t="shared" si="3"/>
        <v>49167.518654747393</v>
      </c>
      <c r="X60">
        <f t="shared" si="4"/>
        <v>0.81394354991176843</v>
      </c>
      <c r="Y60">
        <f t="shared" si="2"/>
        <v>1.195779257876955</v>
      </c>
    </row>
    <row r="61" spans="1:25" x14ac:dyDescent="0.25">
      <c r="A61" t="s">
        <v>32</v>
      </c>
      <c r="B61" s="9">
        <v>45867</v>
      </c>
      <c r="C61" s="2">
        <v>48.824569702148438</v>
      </c>
      <c r="D61" s="3">
        <v>7.297081167532987E-3</v>
      </c>
      <c r="E61" s="4">
        <v>0.32445945016998651</v>
      </c>
      <c r="F61" s="5">
        <v>3.2445945016998652E-3</v>
      </c>
      <c r="G61" s="4">
        <v>5.1506340940472279</v>
      </c>
      <c r="H61" s="5">
        <v>5.1506340940472281E-2</v>
      </c>
      <c r="I61" s="3">
        <v>0.12</v>
      </c>
      <c r="J61" s="2">
        <v>11315.930791311879</v>
      </c>
      <c r="K61" s="2">
        <v>1508790.7721749169</v>
      </c>
      <c r="L61" s="6">
        <v>-3.485244679254913</v>
      </c>
      <c r="M61" s="7">
        <v>1.4849748106854961</v>
      </c>
      <c r="N61" s="6">
        <v>0.15841593040345259</v>
      </c>
      <c r="O61" s="2">
        <v>-13947.80445517407</v>
      </c>
      <c r="P61" s="2">
        <v>-151.13815417377759</v>
      </c>
      <c r="Q61" s="2">
        <v>7379.2553431116594</v>
      </c>
      <c r="R61" s="3">
        <v>4.8908407177454356E-3</v>
      </c>
      <c r="S61" s="2">
        <v>23.942691312899441</v>
      </c>
      <c r="T61" s="7">
        <v>40019.584674198188</v>
      </c>
      <c r="U61" t="s">
        <v>55</v>
      </c>
      <c r="V61" s="5">
        <v>0.16206749783533739</v>
      </c>
      <c r="W61">
        <f t="shared" si="3"/>
        <v>47343.723455709594</v>
      </c>
      <c r="X61">
        <f t="shared" si="4"/>
        <v>0.84529863206971478</v>
      </c>
      <c r="Y61">
        <f t="shared" si="2"/>
        <v>1.1563591976750516</v>
      </c>
    </row>
    <row r="62" spans="1:25" x14ac:dyDescent="0.25">
      <c r="A62" t="s">
        <v>32</v>
      </c>
      <c r="B62" s="9">
        <v>45868</v>
      </c>
      <c r="C62" s="2">
        <v>48.665794372558587</v>
      </c>
      <c r="D62" s="3">
        <v>7.297081167532987E-3</v>
      </c>
      <c r="E62" s="4">
        <v>0.32473543072716371</v>
      </c>
      <c r="F62" s="5">
        <v>3.247354307271637E-3</v>
      </c>
      <c r="G62" s="4">
        <v>5.1550151495731074</v>
      </c>
      <c r="H62" s="5">
        <v>5.1550151495731077E-2</v>
      </c>
      <c r="I62" s="3">
        <v>0.12</v>
      </c>
      <c r="J62" s="2">
        <v>11251.16646492065</v>
      </c>
      <c r="K62" s="2">
        <v>1500155.5286560869</v>
      </c>
      <c r="L62" s="6">
        <v>-5.1267496747321788</v>
      </c>
      <c r="M62" s="7">
        <v>1.4848896333046351</v>
      </c>
      <c r="N62" s="6">
        <v>0.15803507697252389</v>
      </c>
      <c r="O62" s="2">
        <v>-20517.039271136251</v>
      </c>
      <c r="P62" s="2">
        <v>-222.30951029497069</v>
      </c>
      <c r="Q62" s="2">
        <v>10818.86891507924</v>
      </c>
      <c r="R62" s="3">
        <v>7.2118315124107928E-3</v>
      </c>
      <c r="S62" s="2">
        <v>35.132700571189801</v>
      </c>
      <c r="T62" s="7">
        <v>40019.584674198188</v>
      </c>
      <c r="U62" t="s">
        <v>55</v>
      </c>
      <c r="V62" s="5">
        <v>0.16220535012575299</v>
      </c>
      <c r="W62">
        <f t="shared" si="3"/>
        <v>47457.818502559116</v>
      </c>
      <c r="X62">
        <f t="shared" si="4"/>
        <v>0.84326641925271328</v>
      </c>
      <c r="Y62">
        <f t="shared" si="2"/>
        <v>1.1553764510281681</v>
      </c>
    </row>
    <row r="63" spans="1:25" x14ac:dyDescent="0.25">
      <c r="A63" t="s">
        <v>32</v>
      </c>
      <c r="B63" s="9">
        <v>45869</v>
      </c>
      <c r="C63" s="2">
        <v>48.765026092529297</v>
      </c>
      <c r="D63" s="3">
        <v>7.297081167532987E-3</v>
      </c>
      <c r="E63" s="4">
        <v>0.32282323537632412</v>
      </c>
      <c r="F63" s="5">
        <v>3.2282323537632411E-3</v>
      </c>
      <c r="G63" s="4">
        <v>5.124659989434134</v>
      </c>
      <c r="H63" s="5">
        <v>5.1246599894341341E-2</v>
      </c>
      <c r="I63" s="3">
        <v>0.12</v>
      </c>
      <c r="J63" s="2">
        <v>11224.82322200907</v>
      </c>
      <c r="K63" s="2">
        <v>1496643.096267876</v>
      </c>
      <c r="L63" s="6">
        <v>-2.9408661479200222</v>
      </c>
      <c r="M63" s="7">
        <v>1.4848058079456929</v>
      </c>
      <c r="N63" s="6">
        <v>0.15742483496401169</v>
      </c>
      <c r="O63" s="2">
        <v>-11769.22418221684</v>
      </c>
      <c r="P63" s="2">
        <v>-127.51658402923159</v>
      </c>
      <c r="Q63" s="2">
        <v>6218.3495474156816</v>
      </c>
      <c r="R63" s="3">
        <v>4.1548646854565061E-3</v>
      </c>
      <c r="S63" s="2">
        <v>20.074277195976311</v>
      </c>
      <c r="T63" s="7">
        <v>40019.584674198188</v>
      </c>
      <c r="U63" t="s">
        <v>55</v>
      </c>
      <c r="V63" s="5">
        <v>0.1612502085334197</v>
      </c>
      <c r="W63">
        <f t="shared" si="3"/>
        <v>47641.784104233273</v>
      </c>
      <c r="X63">
        <f t="shared" si="4"/>
        <v>0.84001020168852569</v>
      </c>
      <c r="Y63">
        <f t="shared" si="2"/>
        <v>1.1622201513446901</v>
      </c>
    </row>
    <row r="64" spans="1:25" x14ac:dyDescent="0.25">
      <c r="A64" t="s">
        <v>32</v>
      </c>
      <c r="B64" s="9">
        <v>45870</v>
      </c>
      <c r="C64" s="2">
        <v>49.205375671386719</v>
      </c>
      <c r="D64" s="3">
        <v>7.297081167532987E-3</v>
      </c>
      <c r="E64" s="4">
        <v>0.37035904726914942</v>
      </c>
      <c r="F64" s="5">
        <v>3.7035904726914941E-3</v>
      </c>
      <c r="G64" s="4">
        <v>5.8792676092619081</v>
      </c>
      <c r="H64" s="5">
        <v>5.8792676092619081E-2</v>
      </c>
      <c r="I64" s="3">
        <v>0.12</v>
      </c>
      <c r="J64" s="2">
        <v>11202.17468896721</v>
      </c>
      <c r="K64" s="2">
        <v>1493623.291862295</v>
      </c>
      <c r="L64" s="6">
        <v>1.0839600833215119</v>
      </c>
      <c r="M64" s="7">
        <v>1.4847233131480031</v>
      </c>
      <c r="N64" s="6">
        <v>0.18223656054175369</v>
      </c>
      <c r="O64" s="2">
        <v>4337.9632337936182</v>
      </c>
      <c r="P64" s="2">
        <v>46.998129302077828</v>
      </c>
      <c r="Q64" s="2">
        <v>2312.5606081611481</v>
      </c>
      <c r="R64" s="3">
        <v>1.5482890637556789E-3</v>
      </c>
      <c r="S64" s="2">
        <v>8.5647774359072724</v>
      </c>
      <c r="T64" s="7">
        <v>40019.584674198188</v>
      </c>
      <c r="U64" t="s">
        <v>55</v>
      </c>
      <c r="V64" s="5">
        <v>0.18499434693655539</v>
      </c>
      <c r="W64">
        <f t="shared" si="3"/>
        <v>41155.29824368922</v>
      </c>
      <c r="X64">
        <f t="shared" si="4"/>
        <v>0.97240419537804756</v>
      </c>
      <c r="Y64">
        <f t="shared" si="2"/>
        <v>1.0130484788832299</v>
      </c>
    </row>
    <row r="65" spans="1:25" x14ac:dyDescent="0.25">
      <c r="A65" t="s">
        <v>32</v>
      </c>
      <c r="B65" s="9">
        <v>45873</v>
      </c>
      <c r="C65" s="2">
        <v>49.205375671386719</v>
      </c>
      <c r="D65" s="3">
        <v>7.297081167532987E-3</v>
      </c>
      <c r="E65" s="4">
        <v>0.36302623727135552</v>
      </c>
      <c r="F65" s="5">
        <v>3.6302623727135549E-3</v>
      </c>
      <c r="G65" s="4">
        <v>5.7628628592692026</v>
      </c>
      <c r="H65" s="5">
        <v>5.7628628592692042E-2</v>
      </c>
      <c r="I65" s="3">
        <v>0.12</v>
      </c>
      <c r="J65" s="2">
        <v>11261.122674604539</v>
      </c>
      <c r="K65" s="2">
        <v>1501483.023280605</v>
      </c>
      <c r="L65" s="6">
        <v>2.814258371144589</v>
      </c>
      <c r="M65" s="7">
        <v>1.484642127791546</v>
      </c>
      <c r="N65" s="6">
        <v>0.17862842383507019</v>
      </c>
      <c r="O65" s="2">
        <v>11262.545117909191</v>
      </c>
      <c r="P65" s="2">
        <v>122.013391956947</v>
      </c>
      <c r="Q65" s="2">
        <v>6003.7147881817318</v>
      </c>
      <c r="R65" s="3">
        <v>3.9985232567359688E-3</v>
      </c>
      <c r="S65" s="2">
        <v>21.795059892040069</v>
      </c>
      <c r="T65" s="7">
        <v>40019.584674198188</v>
      </c>
      <c r="U65" t="s">
        <v>55</v>
      </c>
      <c r="V65" s="5">
        <v>0.18133160828671249</v>
      </c>
      <c r="W65">
        <f t="shared" si="3"/>
        <v>41986.598991238046</v>
      </c>
      <c r="X65">
        <f t="shared" si="4"/>
        <v>0.95315137771815373</v>
      </c>
      <c r="Y65">
        <f t="shared" si="2"/>
        <v>1.033511165189432</v>
      </c>
    </row>
    <row r="66" spans="1:25" x14ac:dyDescent="0.25">
      <c r="A66" t="s">
        <v>32</v>
      </c>
      <c r="B66" s="9">
        <v>45874</v>
      </c>
      <c r="C66" s="2">
        <v>49.195411682128913</v>
      </c>
      <c r="D66" s="3">
        <v>7.297081167532987E-3</v>
      </c>
      <c r="E66" s="4">
        <v>0.35602098691363621</v>
      </c>
      <c r="F66" s="5">
        <v>3.5602098691363622E-3</v>
      </c>
      <c r="G66" s="4">
        <v>5.6516579573595749</v>
      </c>
      <c r="H66" s="5">
        <v>5.6516579573595752E-2</v>
      </c>
      <c r="I66" s="3">
        <v>0.12</v>
      </c>
      <c r="J66" s="2">
        <v>11258.90633716401</v>
      </c>
      <c r="K66" s="2">
        <v>1501187.5116218689</v>
      </c>
      <c r="L66" s="6">
        <v>3.574232551073937</v>
      </c>
      <c r="M66" s="7">
        <v>1.4845622310915421</v>
      </c>
      <c r="N66" s="6">
        <v>0.1751459901869416</v>
      </c>
      <c r="O66" s="2">
        <v>14303.930222297889</v>
      </c>
      <c r="P66" s="2">
        <v>154.95406268336001</v>
      </c>
      <c r="Q66" s="2">
        <v>7623.028905526302</v>
      </c>
      <c r="R66" s="3">
        <v>5.0779991483478667E-3</v>
      </c>
      <c r="S66" s="2">
        <v>27.1395827421665</v>
      </c>
      <c r="T66" s="7">
        <v>40019.584674198188</v>
      </c>
      <c r="U66" t="s">
        <v>55</v>
      </c>
      <c r="V66" s="5">
        <v>0.1778324856795859</v>
      </c>
      <c r="W66">
        <f t="shared" si="3"/>
        <v>42821.419959400118</v>
      </c>
      <c r="X66">
        <f t="shared" si="4"/>
        <v>0.9345693046176794</v>
      </c>
      <c r="Y66">
        <f t="shared" si="2"/>
        <v>1.0538470575266061</v>
      </c>
    </row>
    <row r="67" spans="1:25" x14ac:dyDescent="0.25">
      <c r="A67" t="s">
        <v>32</v>
      </c>
      <c r="B67" s="9">
        <v>45875</v>
      </c>
      <c r="C67" s="2">
        <v>49.055938720703118</v>
      </c>
      <c r="D67" s="3">
        <v>7.297081167532987E-3</v>
      </c>
      <c r="E67" s="4">
        <v>0.35479300161828742</v>
      </c>
      <c r="F67" s="5">
        <v>3.547930016182874E-3</v>
      </c>
      <c r="G67" s="4">
        <v>5.6321642951287521</v>
      </c>
      <c r="H67" s="5">
        <v>5.6321642951287519E-2</v>
      </c>
      <c r="I67" s="3">
        <v>0.12</v>
      </c>
      <c r="J67" s="2">
        <v>11279.81019078586</v>
      </c>
      <c r="K67" s="2">
        <v>1503974.692104781</v>
      </c>
      <c r="L67" s="6">
        <v>1.7803208690163641</v>
      </c>
      <c r="M67" s="7">
        <v>1.484483602593125</v>
      </c>
      <c r="N67" s="6">
        <v>0.1740470374592103</v>
      </c>
      <c r="O67" s="2">
        <v>7124.7701764842504</v>
      </c>
      <c r="P67" s="2">
        <v>77.178341502832041</v>
      </c>
      <c r="Q67" s="2">
        <v>3786.0559913284269</v>
      </c>
      <c r="R67" s="3">
        <v>2.5173668221969351E-3</v>
      </c>
      <c r="S67" s="2">
        <v>13.43266169458313</v>
      </c>
      <c r="T67" s="7">
        <v>40019.584674198202</v>
      </c>
      <c r="U67" t="s">
        <v>55</v>
      </c>
      <c r="V67" s="5">
        <v>0.17721910701519031</v>
      </c>
      <c r="W67">
        <f t="shared" si="3"/>
        <v>43091.799260057509</v>
      </c>
      <c r="X67">
        <f t="shared" si="4"/>
        <v>0.92870535371896168</v>
      </c>
      <c r="Y67">
        <f t="shared" ref="Y67:Y101" si="5">(1000000*I67/16)/(V67)/T67</f>
        <v>1.0574945609561737</v>
      </c>
    </row>
    <row r="68" spans="1:25" x14ac:dyDescent="0.25">
      <c r="A68" t="s">
        <v>32</v>
      </c>
      <c r="B68" s="9">
        <v>45876</v>
      </c>
      <c r="C68" s="2">
        <v>49.026046752929688</v>
      </c>
      <c r="D68" s="3">
        <v>7.297081167532987E-3</v>
      </c>
      <c r="E68" s="4">
        <v>0.34821608443348911</v>
      </c>
      <c r="F68" s="5">
        <v>3.4821608443348908E-3</v>
      </c>
      <c r="G68" s="4">
        <v>5.5277589715420934</v>
      </c>
      <c r="H68" s="5">
        <v>5.5277589715420933E-2</v>
      </c>
      <c r="I68" s="3">
        <v>0.12</v>
      </c>
      <c r="J68" s="2">
        <v>11295.23294384669</v>
      </c>
      <c r="K68" s="2">
        <v>1506031.059179558</v>
      </c>
      <c r="L68" s="6">
        <v>0.67700500609946823</v>
      </c>
      <c r="M68" s="7">
        <v>1.484406222166111</v>
      </c>
      <c r="N68" s="6">
        <v>0.17071658035558351</v>
      </c>
      <c r="O68" s="2">
        <v>2709.3459166453731</v>
      </c>
      <c r="P68" s="2">
        <v>29.347181663150991</v>
      </c>
      <c r="Q68" s="2">
        <v>1438.776300284361</v>
      </c>
      <c r="R68" s="3">
        <v>9.5534304655586896E-4</v>
      </c>
      <c r="S68" s="2">
        <v>5.0100504966072226</v>
      </c>
      <c r="T68" s="7">
        <v>40019.584674198188</v>
      </c>
      <c r="U68" t="s">
        <v>55</v>
      </c>
      <c r="V68" s="5">
        <v>0.1739339368312057</v>
      </c>
      <c r="W68">
        <f t="shared" si="3"/>
        <v>43932.463878894137</v>
      </c>
      <c r="X68">
        <f t="shared" si="4"/>
        <v>0.91093421904397764</v>
      </c>
      <c r="Y68">
        <f t="shared" si="5"/>
        <v>1.0774679466258754</v>
      </c>
    </row>
    <row r="69" spans="1:25" x14ac:dyDescent="0.25">
      <c r="A69" t="s">
        <v>32</v>
      </c>
      <c r="B69" s="9">
        <v>45877</v>
      </c>
      <c r="C69" s="2">
        <v>49.016086578369141</v>
      </c>
      <c r="D69" s="3">
        <v>7.297081167532987E-3</v>
      </c>
      <c r="E69" s="4">
        <v>0.34161243319465862</v>
      </c>
      <c r="F69" s="5">
        <v>3.4161243319465861E-3</v>
      </c>
      <c r="G69" s="4">
        <v>5.4229292580043973</v>
      </c>
      <c r="H69" s="5">
        <v>5.422929258004397E-2</v>
      </c>
      <c r="I69" s="3">
        <v>0.12</v>
      </c>
      <c r="J69" s="2">
        <v>11301.48460930339</v>
      </c>
      <c r="K69" s="2">
        <v>1506864.6145737851</v>
      </c>
      <c r="L69" s="6">
        <v>0.21849649403001609</v>
      </c>
      <c r="M69" s="7">
        <v>1.4843300699998441</v>
      </c>
      <c r="N69" s="6">
        <v>0.16744504601716731</v>
      </c>
      <c r="O69" s="2">
        <v>874.41389438496685</v>
      </c>
      <c r="P69" s="2">
        <v>9.4710191023138783</v>
      </c>
      <c r="Q69" s="2">
        <v>464.23229230440512</v>
      </c>
      <c r="R69" s="3">
        <v>3.0807830233355938E-4</v>
      </c>
      <c r="S69" s="2">
        <v>1.585875229416418</v>
      </c>
      <c r="T69" s="7">
        <v>40019.584674198188</v>
      </c>
      <c r="U69" t="s">
        <v>55</v>
      </c>
      <c r="V69" s="5">
        <v>0.170635412987028</v>
      </c>
      <c r="W69">
        <f t="shared" si="3"/>
        <v>44790.814529269875</v>
      </c>
      <c r="X69">
        <f t="shared" si="4"/>
        <v>0.89347749298120516</v>
      </c>
      <c r="Y69">
        <f t="shared" si="5"/>
        <v>1.0982962943355785</v>
      </c>
    </row>
    <row r="70" spans="1:25" x14ac:dyDescent="0.25">
      <c r="A70" t="s">
        <v>32</v>
      </c>
      <c r="B70" s="9">
        <v>45880</v>
      </c>
      <c r="C70" s="2">
        <v>49.075859069824219</v>
      </c>
      <c r="D70" s="3">
        <v>7.297081167532987E-3</v>
      </c>
      <c r="E70" s="4">
        <v>0.3361249917625122</v>
      </c>
      <c r="F70" s="5">
        <v>3.3612499176251219E-3</v>
      </c>
      <c r="G70" s="4">
        <v>5.3358188258234476</v>
      </c>
      <c r="H70" s="5">
        <v>5.3358188258234483E-2</v>
      </c>
      <c r="I70" s="3">
        <v>0.12</v>
      </c>
      <c r="J70" s="2">
        <v>11279.37720360785</v>
      </c>
      <c r="K70" s="2">
        <v>1503916.9604810469</v>
      </c>
      <c r="L70" s="6">
        <v>1.00568638731489</v>
      </c>
      <c r="M70" s="7">
        <v>1.4842551265981201</v>
      </c>
      <c r="N70" s="6">
        <v>0.16495622725582881</v>
      </c>
      <c r="O70" s="2">
        <v>4024.7151532836742</v>
      </c>
      <c r="P70" s="2">
        <v>43.590603681160381</v>
      </c>
      <c r="Q70" s="2">
        <v>2139.2463230251878</v>
      </c>
      <c r="R70" s="3">
        <v>1.422449762346535E-3</v>
      </c>
      <c r="S70" s="2">
        <v>7.190541527048258</v>
      </c>
      <c r="T70" s="7">
        <v>40019.584674198188</v>
      </c>
      <c r="U70" t="s">
        <v>55</v>
      </c>
      <c r="V70" s="5">
        <v>0.16789443594980499</v>
      </c>
      <c r="W70">
        <f t="shared" si="3"/>
        <v>45466.607261624224</v>
      </c>
      <c r="X70">
        <f t="shared" si="4"/>
        <v>0.8801972938934558</v>
      </c>
      <c r="Y70">
        <f t="shared" si="5"/>
        <v>1.1162266379220744</v>
      </c>
    </row>
    <row r="71" spans="1:25" x14ac:dyDescent="0.25">
      <c r="A71" t="s">
        <v>32</v>
      </c>
      <c r="B71" s="9">
        <v>45881</v>
      </c>
      <c r="C71" s="2">
        <v>49.145599365234382</v>
      </c>
      <c r="D71" s="3">
        <v>7.297081167532987E-3</v>
      </c>
      <c r="E71" s="4">
        <v>0.33105608572498207</v>
      </c>
      <c r="F71" s="5">
        <v>3.3105608572498212E-3</v>
      </c>
      <c r="G71" s="4">
        <v>5.2553524370566969</v>
      </c>
      <c r="H71" s="5">
        <v>5.255352437056697E-2</v>
      </c>
      <c r="I71" s="3">
        <v>0.12</v>
      </c>
      <c r="J71" s="2">
        <v>11373.685554400859</v>
      </c>
      <c r="K71" s="2">
        <v>1516491.4072534479</v>
      </c>
      <c r="L71" s="6">
        <v>2.7174562946029042</v>
      </c>
      <c r="M71" s="7">
        <v>1.484181372774201</v>
      </c>
      <c r="N71" s="6">
        <v>0.16269949756462659</v>
      </c>
      <c r="O71" s="2">
        <v>10875.14722802938</v>
      </c>
      <c r="P71" s="2">
        <v>117.77993189683799</v>
      </c>
      <c r="Q71" s="2">
        <v>5788.3653462665889</v>
      </c>
      <c r="R71" s="3">
        <v>3.816945693579649E-3</v>
      </c>
      <c r="S71" s="2">
        <v>19.162735742811471</v>
      </c>
      <c r="T71" s="7">
        <v>40019.584674198188</v>
      </c>
      <c r="U71" t="s">
        <v>55</v>
      </c>
      <c r="V71" s="5">
        <v>0.16536251734538601</v>
      </c>
      <c r="W71">
        <f t="shared" si="3"/>
        <v>46097.253601049946</v>
      </c>
      <c r="X71">
        <f t="shared" si="4"/>
        <v>0.86815550923161011</v>
      </c>
      <c r="Y71">
        <f t="shared" si="5"/>
        <v>1.1333175424188899</v>
      </c>
    </row>
    <row r="72" spans="1:25" x14ac:dyDescent="0.25">
      <c r="A72" t="s">
        <v>32</v>
      </c>
      <c r="B72" s="9">
        <v>45882</v>
      </c>
      <c r="C72" s="2">
        <v>49.165523529052727</v>
      </c>
      <c r="D72" s="3">
        <v>7.297081167532987E-3</v>
      </c>
      <c r="E72" s="4">
        <v>0.32501357137652581</v>
      </c>
      <c r="F72" s="5">
        <v>3.2501357137652582E-3</v>
      </c>
      <c r="G72" s="4">
        <v>5.1594304954993682</v>
      </c>
      <c r="H72" s="5">
        <v>5.1594304954993682E-2</v>
      </c>
      <c r="I72" s="3">
        <v>0.12</v>
      </c>
      <c r="J72" s="2">
        <v>11457.40089493069</v>
      </c>
      <c r="K72" s="2">
        <v>1527653.452657426</v>
      </c>
      <c r="L72" s="6">
        <v>3.6859880961991451</v>
      </c>
      <c r="M72" s="7">
        <v>1.4841087896459011</v>
      </c>
      <c r="N72" s="6">
        <v>0.15979462390774041</v>
      </c>
      <c r="O72" s="2">
        <v>14751.17127239283</v>
      </c>
      <c r="P72" s="2">
        <v>159.75020339250881</v>
      </c>
      <c r="Q72" s="2">
        <v>7854.2023836653516</v>
      </c>
      <c r="R72" s="3">
        <v>5.1413508541499342E-3</v>
      </c>
      <c r="S72" s="2">
        <v>25.527223670290979</v>
      </c>
      <c r="T72" s="7">
        <v>40019.584674198188</v>
      </c>
      <c r="U72" t="s">
        <v>55</v>
      </c>
      <c r="V72" s="5">
        <v>0.16234428138223139</v>
      </c>
      <c r="W72">
        <f t="shared" si="3"/>
        <v>46935.246108969397</v>
      </c>
      <c r="X72">
        <f t="shared" si="4"/>
        <v>0.85265526426099603</v>
      </c>
      <c r="Y72">
        <f t="shared" si="5"/>
        <v>1.1543877010661725</v>
      </c>
    </row>
    <row r="73" spans="1:25" x14ac:dyDescent="0.25">
      <c r="A73" t="s">
        <v>32</v>
      </c>
      <c r="B73" s="9">
        <v>45883</v>
      </c>
      <c r="C73" s="2">
        <v>49.016086578369141</v>
      </c>
      <c r="D73" s="3">
        <v>7.297081167532987E-3</v>
      </c>
      <c r="E73" s="4">
        <v>0.3260949467446016</v>
      </c>
      <c r="F73" s="5">
        <v>3.2609494674460159E-3</v>
      </c>
      <c r="G73" s="4">
        <v>5.1765967972864058</v>
      </c>
      <c r="H73" s="5">
        <v>5.1765967972864063E-2</v>
      </c>
      <c r="I73" s="3">
        <v>0.12</v>
      </c>
      <c r="J73" s="2">
        <v>11377.806941466981</v>
      </c>
      <c r="K73" s="2">
        <v>1517040.92552893</v>
      </c>
      <c r="L73" s="6">
        <v>-4.0682587431570836</v>
      </c>
      <c r="M73" s="7">
        <v>1.484037358630748</v>
      </c>
      <c r="N73" s="6">
        <v>0.15983898142402059</v>
      </c>
      <c r="O73" s="2">
        <v>-16281.002524832211</v>
      </c>
      <c r="P73" s="2">
        <v>-176.30927295500351</v>
      </c>
      <c r="Q73" s="2">
        <v>8641.9905877317688</v>
      </c>
      <c r="R73" s="3">
        <v>5.6966100533633662E-3</v>
      </c>
      <c r="S73" s="2">
        <v>28.181094604737389</v>
      </c>
      <c r="T73" s="7">
        <v>40019.584674198188</v>
      </c>
      <c r="U73" t="s">
        <v>55</v>
      </c>
      <c r="V73" s="5">
        <v>0.16288442838683551</v>
      </c>
      <c r="W73">
        <f t="shared" si="3"/>
        <v>46922.220932477103</v>
      </c>
      <c r="X73">
        <f t="shared" si="4"/>
        <v>0.85289195351149139</v>
      </c>
      <c r="Y73">
        <f t="shared" si="5"/>
        <v>1.1505595938305202</v>
      </c>
    </row>
    <row r="74" spans="1:25" x14ac:dyDescent="0.25">
      <c r="A74" t="s">
        <v>32</v>
      </c>
      <c r="B74" s="9">
        <v>45884</v>
      </c>
      <c r="C74" s="2">
        <v>49.0360107421875</v>
      </c>
      <c r="D74" s="3">
        <v>7.297081167532987E-3</v>
      </c>
      <c r="E74" s="4">
        <v>0.32030186263980981</v>
      </c>
      <c r="F74" s="5">
        <v>3.2030186263980981E-3</v>
      </c>
      <c r="G74" s="4">
        <v>5.084634438094243</v>
      </c>
      <c r="H74" s="5">
        <v>5.0846344380942432E-2</v>
      </c>
      <c r="I74" s="3">
        <v>0.12</v>
      </c>
      <c r="J74" s="2">
        <v>11395.888104956661</v>
      </c>
      <c r="K74" s="2">
        <v>1519451.747327555</v>
      </c>
      <c r="L74" s="6">
        <v>-5.8410496040154047</v>
      </c>
      <c r="M74" s="7">
        <v>1.4839670614412319</v>
      </c>
      <c r="N74" s="6">
        <v>0.15706325577148381</v>
      </c>
      <c r="O74" s="2">
        <v>-23375.63792140863</v>
      </c>
      <c r="P74" s="2">
        <v>-253.12608957304599</v>
      </c>
      <c r="Q74" s="2">
        <v>12412.293647431799</v>
      </c>
      <c r="R74" s="3">
        <v>8.1689291346453193E-3</v>
      </c>
      <c r="S74" s="2">
        <v>39.756807749046843</v>
      </c>
      <c r="T74" s="7">
        <v>40019.584674198188</v>
      </c>
      <c r="U74" t="s">
        <v>55</v>
      </c>
      <c r="V74" s="5">
        <v>0.15999078283229429</v>
      </c>
      <c r="W74">
        <f t="shared" si="3"/>
        <v>47751.461429731113</v>
      </c>
      <c r="X74">
        <f t="shared" si="4"/>
        <v>0.83808083514028564</v>
      </c>
      <c r="Y74">
        <f t="shared" si="5"/>
        <v>1.1713689904406503</v>
      </c>
    </row>
    <row r="75" spans="1:25" x14ac:dyDescent="0.25">
      <c r="A75" t="s">
        <v>32</v>
      </c>
      <c r="B75" s="9">
        <v>45887</v>
      </c>
      <c r="C75" s="2">
        <v>49.075859069824219</v>
      </c>
      <c r="D75" s="3">
        <v>7.297081167532987E-3</v>
      </c>
      <c r="E75" s="4">
        <v>0.31501793255260913</v>
      </c>
      <c r="F75" s="5">
        <v>3.1501793255260908E-3</v>
      </c>
      <c r="G75" s="4">
        <v>5.0007546483595346</v>
      </c>
      <c r="H75" s="5">
        <v>5.0007546483595337E-2</v>
      </c>
      <c r="I75" s="3">
        <v>0.12</v>
      </c>
      <c r="J75" s="2">
        <v>11390.214765752589</v>
      </c>
      <c r="K75" s="2">
        <v>1518695.302100346</v>
      </c>
      <c r="L75" s="6">
        <v>-4.4164858485841831</v>
      </c>
      <c r="M75" s="7">
        <v>1.483897880080121</v>
      </c>
      <c r="N75" s="6">
        <v>0.1545977566241924</v>
      </c>
      <c r="O75" s="2">
        <v>-17674.592937981281</v>
      </c>
      <c r="P75" s="2">
        <v>-191.3826711618899</v>
      </c>
      <c r="Q75" s="2">
        <v>9392.2689983474193</v>
      </c>
      <c r="R75" s="3">
        <v>6.1844327728926077E-3</v>
      </c>
      <c r="S75" s="2">
        <v>29.587331618373689</v>
      </c>
      <c r="T75" s="7">
        <v>40019.584674198188</v>
      </c>
      <c r="U75" t="s">
        <v>55</v>
      </c>
      <c r="V75" s="5">
        <v>0.15735145971342429</v>
      </c>
      <c r="W75">
        <f t="shared" si="3"/>
        <v>48512.993744350082</v>
      </c>
      <c r="X75">
        <f t="shared" si="4"/>
        <v>0.82492506822172662</v>
      </c>
      <c r="Y75">
        <f t="shared" si="5"/>
        <v>1.1910168619178392</v>
      </c>
    </row>
    <row r="76" spans="1:25" x14ac:dyDescent="0.25">
      <c r="A76" t="s">
        <v>32</v>
      </c>
      <c r="B76" s="9">
        <v>45888</v>
      </c>
      <c r="C76" s="2">
        <v>49.026046752929688</v>
      </c>
      <c r="D76" s="3">
        <v>7.297081167532987E-3</v>
      </c>
      <c r="E76" s="4">
        <v>0.31026522062449591</v>
      </c>
      <c r="F76" s="5">
        <v>3.1026522062449591E-3</v>
      </c>
      <c r="G76" s="4">
        <v>4.9253076854700266</v>
      </c>
      <c r="H76" s="5">
        <v>4.9253076854700269E-2</v>
      </c>
      <c r="I76" s="3">
        <v>0.12</v>
      </c>
      <c r="J76" s="2">
        <v>11354.148000599491</v>
      </c>
      <c r="K76" s="2">
        <v>1513886.4000799321</v>
      </c>
      <c r="L76" s="6">
        <v>-6.3746848016276223</v>
      </c>
      <c r="M76" s="7">
        <v>1.4838297968358529</v>
      </c>
      <c r="N76" s="6">
        <v>0.1521107721214458</v>
      </c>
      <c r="O76" s="2">
        <v>-25511.2238190061</v>
      </c>
      <c r="P76" s="2">
        <v>-276.22600219531802</v>
      </c>
      <c r="Q76" s="2">
        <v>13542.26889800252</v>
      </c>
      <c r="R76" s="3">
        <v>8.9453666386642323E-3</v>
      </c>
      <c r="S76" s="2">
        <v>42.016950473949997</v>
      </c>
      <c r="T76" s="7">
        <v>40019.584674198188</v>
      </c>
      <c r="U76" t="s">
        <v>55</v>
      </c>
      <c r="V76" s="5">
        <v>0.1549774800690715</v>
      </c>
      <c r="W76">
        <f t="shared" si="3"/>
        <v>49306.172701641226</v>
      </c>
      <c r="X76">
        <f t="shared" si="4"/>
        <v>0.81165465663624869</v>
      </c>
      <c r="Y76">
        <f t="shared" si="5"/>
        <v>1.2092611241488016</v>
      </c>
    </row>
    <row r="77" spans="1:25" x14ac:dyDescent="0.25">
      <c r="A77" t="s">
        <v>32</v>
      </c>
      <c r="B77" s="9">
        <v>45889</v>
      </c>
      <c r="C77" s="2">
        <v>49.095783233642578</v>
      </c>
      <c r="D77" s="3">
        <v>7.297081167532987E-3</v>
      </c>
      <c r="E77" s="4">
        <v>0.30633080790441403</v>
      </c>
      <c r="F77" s="5">
        <v>3.06330807904414E-3</v>
      </c>
      <c r="G77" s="4">
        <v>4.8628508197954714</v>
      </c>
      <c r="H77" s="5">
        <v>4.8628508197954723E-2</v>
      </c>
      <c r="I77" s="3">
        <v>0.12</v>
      </c>
      <c r="J77" s="2">
        <v>11354.820628671199</v>
      </c>
      <c r="K77" s="2">
        <v>1513976.0838228271</v>
      </c>
      <c r="L77" s="6">
        <v>-2.8846731454535268</v>
      </c>
      <c r="M77" s="7">
        <v>1.4837627942780029</v>
      </c>
      <c r="N77" s="6">
        <v>0.15039550942661711</v>
      </c>
      <c r="O77" s="2">
        <v>-11544.342120186309</v>
      </c>
      <c r="P77" s="2">
        <v>-124.99217997427721</v>
      </c>
      <c r="Q77" s="2">
        <v>6136.5889739175527</v>
      </c>
      <c r="R77" s="3">
        <v>4.0532932055455688E-3</v>
      </c>
      <c r="S77" s="2">
        <v>18.798262581574821</v>
      </c>
      <c r="T77" s="7">
        <v>40019.584674198188</v>
      </c>
      <c r="U77" t="s">
        <v>55</v>
      </c>
      <c r="V77" s="5">
        <v>0.15301224088537341</v>
      </c>
      <c r="W77">
        <f t="shared" si="3"/>
        <v>49868.510227424667</v>
      </c>
      <c r="X77">
        <f t="shared" si="4"/>
        <v>0.80250210988235682</v>
      </c>
      <c r="Y77">
        <f t="shared" si="5"/>
        <v>1.2247924785734474</v>
      </c>
    </row>
    <row r="78" spans="1:25" x14ac:dyDescent="0.25">
      <c r="A78" t="s">
        <v>32</v>
      </c>
      <c r="B78" s="9">
        <v>45890</v>
      </c>
      <c r="C78" s="2">
        <v>48.946346282958977</v>
      </c>
      <c r="D78" s="3">
        <v>7.297081167532987E-3</v>
      </c>
      <c r="E78" s="4">
        <v>0.30817853999103612</v>
      </c>
      <c r="F78" s="5">
        <v>3.081785399910361E-3</v>
      </c>
      <c r="G78" s="4">
        <v>4.8921826573395313</v>
      </c>
      <c r="H78" s="5">
        <v>4.8921826573395312E-2</v>
      </c>
      <c r="I78" s="3">
        <v>0.12</v>
      </c>
      <c r="J78" s="2">
        <v>11306.542477218391</v>
      </c>
      <c r="K78" s="2">
        <v>1507538.9969624509</v>
      </c>
      <c r="L78" s="6">
        <v>-6.7927371474971441</v>
      </c>
      <c r="M78" s="7">
        <v>1.483696855252816</v>
      </c>
      <c r="N78" s="6">
        <v>0.15084213535377969</v>
      </c>
      <c r="O78" s="2">
        <v>-27184.251944383341</v>
      </c>
      <c r="P78" s="2">
        <v>-294.31455475481272</v>
      </c>
      <c r="Q78" s="2">
        <v>14405.622113143951</v>
      </c>
      <c r="R78" s="3">
        <v>9.5557210408287428E-3</v>
      </c>
      <c r="S78" s="2">
        <v>44.395035904912881</v>
      </c>
      <c r="T78" s="7">
        <v>40019.584674198188</v>
      </c>
      <c r="U78" t="s">
        <v>55</v>
      </c>
      <c r="V78" s="5">
        <v>0.1539351830767382</v>
      </c>
      <c r="W78">
        <f t="shared" si="3"/>
        <v>49720.855398988941</v>
      </c>
      <c r="X78">
        <f t="shared" si="4"/>
        <v>0.80488528109699364</v>
      </c>
      <c r="Y78">
        <f t="shared" si="5"/>
        <v>1.2174490458925757</v>
      </c>
    </row>
    <row r="79" spans="1:25" x14ac:dyDescent="0.25">
      <c r="A79" t="s">
        <v>32</v>
      </c>
      <c r="B79" s="9">
        <v>45891</v>
      </c>
      <c r="C79" s="2">
        <v>49.135635375976563</v>
      </c>
      <c r="D79" s="3">
        <v>7.297081167532987E-3</v>
      </c>
      <c r="E79" s="4">
        <v>0.31408885679400173</v>
      </c>
      <c r="F79" s="5">
        <v>3.1408885679400172E-3</v>
      </c>
      <c r="G79" s="4">
        <v>4.986006027921051</v>
      </c>
      <c r="H79" s="5">
        <v>4.9860060279210507E-2</v>
      </c>
      <c r="I79" s="3">
        <v>0.12</v>
      </c>
      <c r="J79" s="2">
        <v>11463.74900578402</v>
      </c>
      <c r="K79" s="2">
        <v>1528499.8674378691</v>
      </c>
      <c r="L79" s="6">
        <v>-0.20039136489371481</v>
      </c>
      <c r="M79" s="7">
        <v>1.483631962878823</v>
      </c>
      <c r="N79" s="6">
        <v>0.1543295554308739</v>
      </c>
      <c r="O79" s="2">
        <v>-801.95791953421644</v>
      </c>
      <c r="P79" s="2">
        <v>-8.6821430791303111</v>
      </c>
      <c r="Q79" s="2">
        <v>426.60261661820539</v>
      </c>
      <c r="R79" s="3">
        <v>2.7909889016431067E-4</v>
      </c>
      <c r="S79" s="2">
        <v>1.339911281589419</v>
      </c>
      <c r="T79" s="7">
        <v>40019.584674198188</v>
      </c>
      <c r="U79" t="s">
        <v>55</v>
      </c>
      <c r="V79" s="5">
        <v>0.1568873863649117</v>
      </c>
      <c r="W79">
        <f t="shared" si="3"/>
        <v>48597.301917061137</v>
      </c>
      <c r="X79">
        <f t="shared" si="4"/>
        <v>0.82349396150629595</v>
      </c>
      <c r="Y79">
        <f t="shared" si="5"/>
        <v>1.194539893284807</v>
      </c>
    </row>
    <row r="80" spans="1:25" x14ac:dyDescent="0.25">
      <c r="A80" t="s">
        <v>32</v>
      </c>
      <c r="B80" s="9">
        <v>45894</v>
      </c>
      <c r="C80" s="2">
        <v>49.075859069824219</v>
      </c>
      <c r="D80" s="3">
        <v>7.297081167532987E-3</v>
      </c>
      <c r="E80" s="4">
        <v>0.30986029033486329</v>
      </c>
      <c r="F80" s="5">
        <v>3.0986029033486331E-3</v>
      </c>
      <c r="G80" s="4">
        <v>4.9188796164019157</v>
      </c>
      <c r="H80" s="5">
        <v>4.9188796164019159E-2</v>
      </c>
      <c r="I80" s="3">
        <v>0.12</v>
      </c>
      <c r="J80" s="2">
        <v>11392.93646668172</v>
      </c>
      <c r="K80" s="2">
        <v>1519058.1955575631</v>
      </c>
      <c r="L80" s="6">
        <v>-0.42953022104998262</v>
      </c>
      <c r="M80" s="7">
        <v>1.483568100542513</v>
      </c>
      <c r="N80" s="6">
        <v>0.15206659939808559</v>
      </c>
      <c r="O80" s="2">
        <v>-1718.962105143685</v>
      </c>
      <c r="P80" s="2">
        <v>-18.608997020413351</v>
      </c>
      <c r="Q80" s="2">
        <v>913.25251520458426</v>
      </c>
      <c r="R80" s="3">
        <v>6.0119652945184209E-4</v>
      </c>
      <c r="S80" s="2">
        <v>2.8298068951033661</v>
      </c>
      <c r="T80" s="7">
        <v>40019.584674198202</v>
      </c>
      <c r="U80" t="s">
        <v>55</v>
      </c>
      <c r="V80" s="5">
        <v>0.15477521738631059</v>
      </c>
      <c r="W80">
        <f t="shared" si="3"/>
        <v>49320.495294079781</v>
      </c>
      <c r="X80">
        <f t="shared" si="4"/>
        <v>0.81141895343054227</v>
      </c>
      <c r="Y80">
        <f t="shared" si="5"/>
        <v>1.2108414055611565</v>
      </c>
    </row>
    <row r="81" spans="1:25" x14ac:dyDescent="0.25">
      <c r="A81" t="s">
        <v>32</v>
      </c>
      <c r="B81" s="9">
        <v>45895</v>
      </c>
      <c r="C81" s="2">
        <v>49.145599365234382</v>
      </c>
      <c r="D81" s="3">
        <v>7.297081167532987E-3</v>
      </c>
      <c r="E81" s="4">
        <v>0.30585315191013618</v>
      </c>
      <c r="F81" s="5">
        <v>3.0585315191013619E-3</v>
      </c>
      <c r="G81" s="4">
        <v>4.8552682659568811</v>
      </c>
      <c r="H81" s="5">
        <v>4.8552682659568809E-2</v>
      </c>
      <c r="I81" s="3">
        <v>0.12</v>
      </c>
      <c r="J81" s="2">
        <v>11418.91422183716</v>
      </c>
      <c r="K81" s="2">
        <v>1522521.8962449541</v>
      </c>
      <c r="L81" s="6">
        <v>2.4789333610645041</v>
      </c>
      <c r="M81" s="7">
        <v>1.4835052518940799</v>
      </c>
      <c r="N81" s="6">
        <v>0.15031336468369719</v>
      </c>
      <c r="O81" s="2">
        <v>9920.5883544815624</v>
      </c>
      <c r="P81" s="2">
        <v>107.3929307801376</v>
      </c>
      <c r="Q81" s="2">
        <v>5277.8899507789884</v>
      </c>
      <c r="R81" s="3">
        <v>3.466544529701689E-3</v>
      </c>
      <c r="S81" s="2">
        <v>16.142592768805869</v>
      </c>
      <c r="T81" s="7">
        <v>40019.584674198188</v>
      </c>
      <c r="U81" t="s">
        <v>55</v>
      </c>
      <c r="V81" s="5">
        <v>0.15277365171258739</v>
      </c>
      <c r="W81">
        <f t="shared" si="3"/>
        <v>49895.762867008983</v>
      </c>
      <c r="X81">
        <f t="shared" si="4"/>
        <v>0.80206379008304707</v>
      </c>
      <c r="Y81">
        <f t="shared" si="5"/>
        <v>1.2267052575181254</v>
      </c>
    </row>
    <row r="82" spans="1:25" x14ac:dyDescent="0.25">
      <c r="A82" t="s">
        <v>32</v>
      </c>
      <c r="B82" s="9">
        <v>45896</v>
      </c>
      <c r="C82" s="2">
        <v>49.245223999023438</v>
      </c>
      <c r="D82" s="3">
        <v>7.297081167532987E-3</v>
      </c>
      <c r="E82" s="4">
        <v>0.3032786156178498</v>
      </c>
      <c r="F82" s="5">
        <v>3.0327861561784981E-3</v>
      </c>
      <c r="G82" s="4">
        <v>4.8143987693326808</v>
      </c>
      <c r="H82" s="5">
        <v>4.8143987693326812E-2</v>
      </c>
      <c r="I82" s="3">
        <v>0.12</v>
      </c>
      <c r="J82" s="2">
        <v>11413.93726302697</v>
      </c>
      <c r="K82" s="2">
        <v>1521858.301736929</v>
      </c>
      <c r="L82" s="6">
        <v>4.7013485299333659</v>
      </c>
      <c r="M82" s="7">
        <v>1.483443400843242</v>
      </c>
      <c r="N82" s="6">
        <v>0.14935023360214739</v>
      </c>
      <c r="O82" s="2">
        <v>18814.60155765856</v>
      </c>
      <c r="P82" s="2">
        <v>203.66442881561139</v>
      </c>
      <c r="Q82" s="2">
        <v>10029.50041765795</v>
      </c>
      <c r="R82" s="3">
        <v>6.5902984569661078E-3</v>
      </c>
      <c r="S82" s="2">
        <v>30.417330020059481</v>
      </c>
      <c r="T82" s="7">
        <v>40019.584674198188</v>
      </c>
      <c r="U82" t="s">
        <v>55</v>
      </c>
      <c r="V82" s="5">
        <v>0.15148767081494821</v>
      </c>
      <c r="W82">
        <f t="shared" si="3"/>
        <v>50217.531095258775</v>
      </c>
      <c r="X82">
        <f t="shared" si="4"/>
        <v>0.79692457596698907</v>
      </c>
      <c r="Y82">
        <f t="shared" si="5"/>
        <v>1.2371187751312445</v>
      </c>
    </row>
    <row r="83" spans="1:25" x14ac:dyDescent="0.25">
      <c r="A83" t="s">
        <v>32</v>
      </c>
      <c r="B83" s="9">
        <v>45897</v>
      </c>
      <c r="C83" s="2">
        <v>49.285076141357422</v>
      </c>
      <c r="D83" s="3">
        <v>7.297081167532987E-3</v>
      </c>
      <c r="E83" s="4">
        <v>0.29834773968031952</v>
      </c>
      <c r="F83" s="5">
        <v>2.983477396803194E-3</v>
      </c>
      <c r="G83" s="4">
        <v>4.7361235404741748</v>
      </c>
      <c r="H83" s="5">
        <v>4.7361235404741749E-2</v>
      </c>
      <c r="I83" s="3">
        <v>0.12</v>
      </c>
      <c r="J83" s="2">
        <v>11469.880784424549</v>
      </c>
      <c r="K83" s="2">
        <v>1529317.437923274</v>
      </c>
      <c r="L83" s="6">
        <v>5.7803977669834401</v>
      </c>
      <c r="M83" s="7">
        <v>1.483382531555115</v>
      </c>
      <c r="N83" s="6">
        <v>0.1470409106674643</v>
      </c>
      <c r="O83" s="2">
        <v>23132.911788633999</v>
      </c>
      <c r="P83" s="2">
        <v>250.3990283103897</v>
      </c>
      <c r="Q83" s="2">
        <v>12340.93517599947</v>
      </c>
      <c r="R83" s="3">
        <v>8.0695706921106985E-3</v>
      </c>
      <c r="S83" s="2">
        <v>36.818901153007872</v>
      </c>
      <c r="T83" s="7">
        <v>40019.584674198188</v>
      </c>
      <c r="U83" t="s">
        <v>55</v>
      </c>
      <c r="V83" s="5">
        <v>0.14902469824653219</v>
      </c>
      <c r="W83">
        <f t="shared" si="3"/>
        <v>51006.212937305521</v>
      </c>
      <c r="X83">
        <f t="shared" si="4"/>
        <v>0.78460215667037292</v>
      </c>
      <c r="Y83">
        <f t="shared" si="5"/>
        <v>1.2575649806453133</v>
      </c>
    </row>
    <row r="84" spans="1:25" x14ac:dyDescent="0.25">
      <c r="A84" t="s">
        <v>32</v>
      </c>
      <c r="B84" s="9">
        <v>45898</v>
      </c>
      <c r="C84" s="2">
        <v>49.305004119873047</v>
      </c>
      <c r="D84" s="3">
        <v>7.297081167532987E-3</v>
      </c>
      <c r="E84" s="4">
        <v>0.29332423382997452</v>
      </c>
      <c r="F84" s="5">
        <v>2.933242338299745E-3</v>
      </c>
      <c r="G84" s="4">
        <v>4.6563778573360297</v>
      </c>
      <c r="H84" s="5">
        <v>4.6563778573360297E-2</v>
      </c>
      <c r="I84" s="3">
        <v>0.12</v>
      </c>
      <c r="J84" s="2">
        <v>11463.95319338294</v>
      </c>
      <c r="K84" s="2">
        <v>1528527.092451059</v>
      </c>
      <c r="L84" s="6">
        <v>6.3791080235764586</v>
      </c>
      <c r="M84" s="7">
        <v>1.483322628446164</v>
      </c>
      <c r="N84" s="6">
        <v>0.14462352557445499</v>
      </c>
      <c r="O84" s="2">
        <v>25528.925369537519</v>
      </c>
      <c r="P84" s="2">
        <v>276.32318927869352</v>
      </c>
      <c r="Q84" s="2">
        <v>13624.11598580244</v>
      </c>
      <c r="R84" s="3">
        <v>8.9132316025590241E-3</v>
      </c>
      <c r="S84" s="2">
        <v>39.962833831462092</v>
      </c>
      <c r="T84" s="7">
        <v>40019.584674198188</v>
      </c>
      <c r="U84" t="s">
        <v>55</v>
      </c>
      <c r="V84" s="5">
        <v>0.14651545703595861</v>
      </c>
      <c r="W84">
        <f t="shared" si="3"/>
        <v>51858.782796294472</v>
      </c>
      <c r="X84">
        <f t="shared" si="4"/>
        <v>0.77170312368106242</v>
      </c>
      <c r="Y84">
        <f t="shared" si="5"/>
        <v>1.2791021886522127</v>
      </c>
    </row>
    <row r="85" spans="1:25" x14ac:dyDescent="0.25">
      <c r="A85" t="s">
        <v>32</v>
      </c>
      <c r="B85" s="9">
        <v>45901</v>
      </c>
      <c r="D85" s="3">
        <v>7.297081167532987E-3</v>
      </c>
      <c r="E85" s="4">
        <v>0.29327156800354159</v>
      </c>
      <c r="F85" s="5">
        <v>2.9327156800354171E-3</v>
      </c>
      <c r="G85" s="4">
        <v>4.6555418132600312</v>
      </c>
      <c r="H85" s="5">
        <v>4.6555418132600307E-2</v>
      </c>
      <c r="I85" s="3">
        <v>0.12</v>
      </c>
      <c r="J85" s="2">
        <v>11463.82361007731</v>
      </c>
      <c r="K85" s="2">
        <v>1528509.8146769749</v>
      </c>
      <c r="L85" s="6">
        <v>6.3782283645846531</v>
      </c>
      <c r="M85" s="7">
        <v>1.483263676180214</v>
      </c>
      <c r="O85" s="2">
        <v>25525.405010786821</v>
      </c>
      <c r="P85" s="2">
        <v>276.27410467245733</v>
      </c>
      <c r="T85" s="7">
        <v>40019.584674198188</v>
      </c>
      <c r="U85" t="s">
        <v>55</v>
      </c>
      <c r="V85" s="5">
        <v>0.1464891504552536</v>
      </c>
      <c r="W85" t="e">
        <f t="shared" si="3"/>
        <v>#DIV/0!</v>
      </c>
      <c r="X85" t="e">
        <f t="shared" si="4"/>
        <v>#DIV/0!</v>
      </c>
      <c r="Y85">
        <f t="shared" si="5"/>
        <v>1.279331890339001</v>
      </c>
    </row>
    <row r="86" spans="1:25" x14ac:dyDescent="0.25">
      <c r="A86" t="s">
        <v>32</v>
      </c>
      <c r="B86" s="9">
        <v>45902</v>
      </c>
      <c r="C86" s="2">
        <v>49.290000915527337</v>
      </c>
      <c r="D86" s="3">
        <v>7.297081167532987E-3</v>
      </c>
      <c r="E86" s="4">
        <v>0.29321896536850811</v>
      </c>
      <c r="F86" s="5">
        <v>2.9321896536850809E-3</v>
      </c>
      <c r="G86" s="4">
        <v>4.6547067723163993</v>
      </c>
      <c r="H86" s="5">
        <v>4.6547067723163991E-2</v>
      </c>
      <c r="I86" s="3">
        <v>0.12</v>
      </c>
      <c r="J86" s="2">
        <v>11424.416024891259</v>
      </c>
      <c r="K86" s="2">
        <v>1523255.4699855009</v>
      </c>
      <c r="L86" s="6">
        <v>6.2458699283467851</v>
      </c>
      <c r="M86" s="7">
        <v>1.483205659664516</v>
      </c>
      <c r="N86" s="6">
        <v>0.14452763071463751</v>
      </c>
      <c r="O86" s="2">
        <v>24995.712046150242</v>
      </c>
      <c r="P86" s="2">
        <v>270.53039332139792</v>
      </c>
      <c r="Q86" s="2">
        <v>13334.44333448967</v>
      </c>
      <c r="R86" s="3">
        <v>8.7539113413566787E-3</v>
      </c>
      <c r="S86" s="2">
        <v>39.099116783040607</v>
      </c>
      <c r="T86" s="7">
        <v>40019.584674198188</v>
      </c>
      <c r="U86" t="s">
        <v>55</v>
      </c>
      <c r="V86" s="5">
        <v>0.146462875438653</v>
      </c>
      <c r="W86">
        <f t="shared" si="3"/>
        <v>51893.19137742163</v>
      </c>
      <c r="X86">
        <f t="shared" si="4"/>
        <v>0.7711914340194238</v>
      </c>
      <c r="Y86">
        <f t="shared" si="5"/>
        <v>1.2795613987830736</v>
      </c>
    </row>
    <row r="87" spans="1:25" x14ac:dyDescent="0.25">
      <c r="A87" t="s">
        <v>32</v>
      </c>
      <c r="B87" s="9">
        <v>45903</v>
      </c>
      <c r="C87" s="2">
        <v>49.479999542236328</v>
      </c>
      <c r="D87" s="3">
        <v>7.297081167532987E-3</v>
      </c>
      <c r="E87" s="4">
        <v>0.29889346111169751</v>
      </c>
      <c r="F87" s="5">
        <v>2.9889346111169751E-3</v>
      </c>
      <c r="G87" s="4">
        <v>4.7447865996294407</v>
      </c>
      <c r="H87" s="5">
        <v>4.7447865996294407E-2</v>
      </c>
      <c r="I87" s="3">
        <v>0.12</v>
      </c>
      <c r="J87" s="2">
        <v>11486.59789577323</v>
      </c>
      <c r="K87" s="2">
        <v>1531546.3861030969</v>
      </c>
      <c r="L87" s="6">
        <v>7.4255751980315257</v>
      </c>
      <c r="M87" s="7">
        <v>1.483148564045893</v>
      </c>
      <c r="N87" s="6">
        <v>0.14789248318984219</v>
      </c>
      <c r="O87" s="2">
        <v>29716.843539224868</v>
      </c>
      <c r="P87" s="2">
        <v>321.61515883058081</v>
      </c>
      <c r="Q87" s="2">
        <v>15913.517911713399</v>
      </c>
      <c r="R87" s="3">
        <v>1.0390490328016861E-2</v>
      </c>
      <c r="S87" s="2">
        <v>47.564464470950099</v>
      </c>
      <c r="T87" s="7">
        <v>40019.584674198188</v>
      </c>
      <c r="U87" t="s">
        <v>55</v>
      </c>
      <c r="V87" s="5">
        <v>0.149297286105669</v>
      </c>
      <c r="W87">
        <f t="shared" si="3"/>
        <v>50712.516540631899</v>
      </c>
      <c r="X87">
        <f t="shared" si="4"/>
        <v>0.78914610049244316</v>
      </c>
      <c r="Y87">
        <f t="shared" si="5"/>
        <v>1.2552689111403599</v>
      </c>
    </row>
    <row r="88" spans="1:25" x14ac:dyDescent="0.25">
      <c r="A88" t="s">
        <v>32</v>
      </c>
      <c r="B88" s="9">
        <v>45904</v>
      </c>
      <c r="C88" s="2">
        <v>49.659999847412109</v>
      </c>
      <c r="D88" s="3">
        <v>7.297081167532987E-3</v>
      </c>
      <c r="E88" s="4">
        <v>0.30166228907560372</v>
      </c>
      <c r="F88" s="5">
        <v>3.0166228907560371E-3</v>
      </c>
      <c r="G88" s="4">
        <v>4.7887403809231426</v>
      </c>
      <c r="H88" s="5">
        <v>4.7887403809231427E-2</v>
      </c>
      <c r="I88" s="3">
        <v>0.12</v>
      </c>
      <c r="J88" s="2">
        <v>11516.613082889749</v>
      </c>
      <c r="K88" s="2">
        <v>1535548.4110519669</v>
      </c>
      <c r="L88" s="6">
        <v>8.5113835923212893</v>
      </c>
      <c r="M88" s="7">
        <v>1.48309237470693</v>
      </c>
      <c r="N88" s="6">
        <v>0.14980549229464471</v>
      </c>
      <c r="O88" s="2">
        <v>34062.203636748302</v>
      </c>
      <c r="P88" s="2">
        <v>368.62952787128103</v>
      </c>
      <c r="Q88" s="2">
        <v>18306.142297839411</v>
      </c>
      <c r="R88" s="3">
        <v>1.192156637073938E-2</v>
      </c>
      <c r="S88" s="2">
        <v>55.222727897099688</v>
      </c>
      <c r="T88" s="7">
        <v>40019.584674198188</v>
      </c>
      <c r="U88" t="s">
        <v>55</v>
      </c>
      <c r="V88" s="5">
        <v>0.15068031569476459</v>
      </c>
      <c r="W88">
        <f t="shared" si="3"/>
        <v>50064.920084829988</v>
      </c>
      <c r="X88">
        <f t="shared" si="4"/>
        <v>0.79935381113939685</v>
      </c>
      <c r="Y88">
        <f t="shared" si="5"/>
        <v>1.2437473395377645</v>
      </c>
    </row>
    <row r="89" spans="1:25" x14ac:dyDescent="0.25">
      <c r="A89" t="s">
        <v>32</v>
      </c>
      <c r="B89" s="9">
        <v>45905</v>
      </c>
      <c r="C89" s="2">
        <v>50.139999389648438</v>
      </c>
      <c r="D89" s="3">
        <v>7.297081167532987E-3</v>
      </c>
      <c r="E89" s="4">
        <v>0.35462838491427368</v>
      </c>
      <c r="F89" s="5">
        <v>3.5462838491427369E-3</v>
      </c>
      <c r="G89" s="4">
        <v>5.6295510859659474</v>
      </c>
      <c r="H89" s="5">
        <v>5.6295510859659482E-2</v>
      </c>
      <c r="I89" s="3">
        <v>0.12</v>
      </c>
      <c r="J89" s="2">
        <v>11595.659926064451</v>
      </c>
      <c r="K89" s="2">
        <v>1546087.9901419261</v>
      </c>
      <c r="L89" s="6">
        <v>9.6730091680058283</v>
      </c>
      <c r="M89" s="7">
        <v>1.483037077262237</v>
      </c>
      <c r="N89" s="6">
        <v>0.17781067003153689</v>
      </c>
      <c r="O89" s="2">
        <v>38710.98094533047</v>
      </c>
      <c r="P89" s="2">
        <v>418.92411661987597</v>
      </c>
      <c r="Q89" s="2">
        <v>21004.85495162959</v>
      </c>
      <c r="R89" s="3">
        <v>1.3585808237021111E-2</v>
      </c>
      <c r="S89" s="2">
        <v>74.489177868549874</v>
      </c>
      <c r="T89" s="7">
        <v>40019.584674198188</v>
      </c>
      <c r="U89" t="s">
        <v>55</v>
      </c>
      <c r="V89" s="5">
        <v>0.1771368809702796</v>
      </c>
      <c r="W89">
        <f t="shared" si="3"/>
        <v>42179.695957896009</v>
      </c>
      <c r="X89">
        <f t="shared" si="4"/>
        <v>0.94878788870706765</v>
      </c>
      <c r="Y89">
        <f t="shared" si="5"/>
        <v>1.0579854445868766</v>
      </c>
    </row>
    <row r="90" spans="1:25" x14ac:dyDescent="0.25">
      <c r="A90" t="s">
        <v>32</v>
      </c>
      <c r="B90" s="9">
        <v>45908</v>
      </c>
      <c r="C90" s="2">
        <v>50.389999389648438</v>
      </c>
      <c r="D90" s="3">
        <v>7.297081167532987E-3</v>
      </c>
      <c r="E90" s="4">
        <v>0.35655388914360348</v>
      </c>
      <c r="F90" s="5">
        <v>3.5655388914360348E-3</v>
      </c>
      <c r="G90" s="4">
        <v>5.6601175180012069</v>
      </c>
      <c r="H90" s="5">
        <v>5.6601175180012071E-2</v>
      </c>
      <c r="I90" s="3">
        <v>0.12</v>
      </c>
      <c r="J90" s="2">
        <v>11652.8270801252</v>
      </c>
      <c r="K90" s="2">
        <v>1553710.2773500271</v>
      </c>
      <c r="L90" s="6">
        <v>10.5668387107002</v>
      </c>
      <c r="M90" s="7">
        <v>1.4829826575547611</v>
      </c>
      <c r="N90" s="6">
        <v>0.17966750256322961</v>
      </c>
      <c r="O90" s="2">
        <v>42288.049652146197</v>
      </c>
      <c r="P90" s="2">
        <v>457.61779592958641</v>
      </c>
      <c r="Q90" s="2">
        <v>23059.36045758412</v>
      </c>
      <c r="R90" s="3">
        <v>1.4841480289950609E-2</v>
      </c>
      <c r="S90" s="2">
        <v>82.219046523158426</v>
      </c>
      <c r="T90" s="7">
        <v>40019.584674198188</v>
      </c>
      <c r="U90" t="s">
        <v>55</v>
      </c>
      <c r="V90" s="5">
        <v>0.17809867034752019</v>
      </c>
      <c r="W90">
        <f t="shared" si="3"/>
        <v>41743.776103085533</v>
      </c>
      <c r="X90">
        <f t="shared" si="4"/>
        <v>0.95869584427078458</v>
      </c>
      <c r="Y90">
        <f t="shared" si="5"/>
        <v>1.0522719872101691</v>
      </c>
    </row>
    <row r="91" spans="1:25" x14ac:dyDescent="0.25">
      <c r="A91" t="s">
        <v>32</v>
      </c>
      <c r="B91" s="9">
        <v>45909</v>
      </c>
      <c r="C91" s="2">
        <v>50.400001525878913</v>
      </c>
      <c r="D91" s="3">
        <v>7.297081167532987E-3</v>
      </c>
      <c r="E91" s="4">
        <v>0.35036918314412308</v>
      </c>
      <c r="F91" s="5">
        <v>3.5036918314412312E-3</v>
      </c>
      <c r="G91" s="4">
        <v>5.5619383539611604</v>
      </c>
      <c r="H91" s="5">
        <v>5.5619383539611607E-2</v>
      </c>
      <c r="I91" s="3">
        <v>0.12</v>
      </c>
      <c r="J91" s="2">
        <v>11624.630947561491</v>
      </c>
      <c r="K91" s="2">
        <v>1549950.793008198</v>
      </c>
      <c r="L91" s="6">
        <v>11.286076114008489</v>
      </c>
      <c r="M91" s="7">
        <v>1.482929101652166</v>
      </c>
      <c r="N91" s="6">
        <v>0.1765860736508475</v>
      </c>
      <c r="O91" s="2">
        <v>45166.407868400842</v>
      </c>
      <c r="P91" s="2">
        <v>488.74813943226752</v>
      </c>
      <c r="Q91" s="2">
        <v>24632.906973156762</v>
      </c>
      <c r="R91" s="3">
        <v>1.5892702584027429E-2</v>
      </c>
      <c r="S91" s="2">
        <v>86.306114946501069</v>
      </c>
      <c r="T91" s="7">
        <v>40019.584674198188</v>
      </c>
      <c r="U91" t="s">
        <v>55</v>
      </c>
      <c r="V91" s="5">
        <v>0.17500940965359421</v>
      </c>
      <c r="W91">
        <f t="shared" si="3"/>
        <v>42472.205451655696</v>
      </c>
      <c r="X91">
        <f t="shared" si="4"/>
        <v>0.94225351023390524</v>
      </c>
      <c r="Y91">
        <f t="shared" si="5"/>
        <v>1.0708466598282995</v>
      </c>
    </row>
    <row r="92" spans="1:25" x14ac:dyDescent="0.25">
      <c r="A92" t="s">
        <v>32</v>
      </c>
      <c r="B92" s="9">
        <v>45910</v>
      </c>
      <c r="C92" s="2">
        <v>50.659999847412109</v>
      </c>
      <c r="D92" s="3">
        <v>7.297081167532987E-3</v>
      </c>
      <c r="E92" s="4">
        <v>0.3527831975365055</v>
      </c>
      <c r="F92" s="5">
        <v>3.5278319753650552E-3</v>
      </c>
      <c r="G92" s="4">
        <v>5.6002596444226072</v>
      </c>
      <c r="H92" s="5">
        <v>5.6002596444226067E-2</v>
      </c>
      <c r="I92" s="3">
        <v>0.12</v>
      </c>
      <c r="J92" s="2">
        <v>11686.273770181981</v>
      </c>
      <c r="K92" s="2">
        <v>1558169.8360242629</v>
      </c>
      <c r="L92" s="6">
        <v>11.799450780514309</v>
      </c>
      <c r="M92" s="7">
        <v>1.482876395843262</v>
      </c>
      <c r="N92" s="6">
        <v>0.17871996733368931</v>
      </c>
      <c r="O92" s="2">
        <v>47220.911961982638</v>
      </c>
      <c r="P92" s="2">
        <v>510.96187811853162</v>
      </c>
      <c r="Q92" s="2">
        <v>25885.328667518221</v>
      </c>
      <c r="R92" s="3">
        <v>1.6612649063702668E-2</v>
      </c>
      <c r="S92" s="2">
        <v>91.319090166104488</v>
      </c>
      <c r="T92" s="7">
        <v>40019.584674198188</v>
      </c>
      <c r="U92" t="s">
        <v>55</v>
      </c>
      <c r="V92" s="5">
        <v>0.17621520986100669</v>
      </c>
      <c r="W92">
        <f t="shared" si="3"/>
        <v>41965.092719587956</v>
      </c>
      <c r="X92">
        <f t="shared" si="4"/>
        <v>0.95363984875740149</v>
      </c>
      <c r="Y92">
        <f t="shared" si="5"/>
        <v>1.0635191020905399</v>
      </c>
    </row>
    <row r="93" spans="1:25" x14ac:dyDescent="0.25">
      <c r="A93" t="s">
        <v>32</v>
      </c>
      <c r="B93" s="9">
        <v>45911</v>
      </c>
      <c r="C93" s="2">
        <v>50.799999237060547</v>
      </c>
      <c r="D93" s="3">
        <v>7.297081167532987E-3</v>
      </c>
      <c r="E93" s="4">
        <v>0.34663327817356088</v>
      </c>
      <c r="F93" s="5">
        <v>3.4663327817356089E-3</v>
      </c>
      <c r="G93" s="4">
        <v>5.5026327011178946</v>
      </c>
      <c r="H93" s="5">
        <v>5.5026327011178947E-2</v>
      </c>
      <c r="I93" s="3">
        <v>0.12</v>
      </c>
      <c r="J93" s="2">
        <v>11802.20132902942</v>
      </c>
      <c r="K93" s="2">
        <v>1573626.84387059</v>
      </c>
      <c r="L93" s="6">
        <v>12.32283704285191</v>
      </c>
      <c r="M93" s="7">
        <v>1.4828245266344999</v>
      </c>
      <c r="N93" s="6">
        <v>0.17608970266756691</v>
      </c>
      <c r="O93" s="2">
        <v>49315.482046275822</v>
      </c>
      <c r="P93" s="2">
        <v>533.60786297552647</v>
      </c>
      <c r="Q93" s="2">
        <v>27107.279032046259</v>
      </c>
      <c r="R93" s="3">
        <v>1.722598920934236E-2</v>
      </c>
      <c r="S93" s="2">
        <v>93.962849932436256</v>
      </c>
      <c r="T93" s="7">
        <v>40019.584674198188</v>
      </c>
      <c r="U93" t="s">
        <v>55</v>
      </c>
      <c r="V93" s="5">
        <v>0.17314332509229571</v>
      </c>
      <c r="W93">
        <f t="shared" si="3"/>
        <v>42591.92835460099</v>
      </c>
      <c r="X93">
        <f t="shared" si="4"/>
        <v>0.9396049021545434</v>
      </c>
      <c r="Y93">
        <f t="shared" si="5"/>
        <v>1.0823879099363152</v>
      </c>
    </row>
    <row r="94" spans="1:25" x14ac:dyDescent="0.25">
      <c r="A94" t="s">
        <v>32</v>
      </c>
      <c r="B94" s="9">
        <v>45912</v>
      </c>
      <c r="C94" s="2">
        <v>50.729999542236328</v>
      </c>
      <c r="D94" s="3">
        <v>7.297081167532987E-3</v>
      </c>
      <c r="E94" s="4">
        <v>0.34613098715972213</v>
      </c>
      <c r="F94" s="5">
        <v>3.4613098715972211E-3</v>
      </c>
      <c r="G94" s="4">
        <v>5.4946590784674942</v>
      </c>
      <c r="H94" s="5">
        <v>5.494659078467494E-2</v>
      </c>
      <c r="I94" s="3">
        <v>0.12</v>
      </c>
      <c r="J94" s="2">
        <v>11762.35050013627</v>
      </c>
      <c r="K94" s="2">
        <v>1568313.40001817</v>
      </c>
      <c r="L94" s="6">
        <v>12.30996047643429</v>
      </c>
      <c r="M94" s="7">
        <v>1.4827734807465121</v>
      </c>
      <c r="N94" s="6">
        <v>0.17559224820166511</v>
      </c>
      <c r="O94" s="2">
        <v>49263.950562269521</v>
      </c>
      <c r="P94" s="2">
        <v>533.03192719571473</v>
      </c>
      <c r="Q94" s="2">
        <v>27040.709422635951</v>
      </c>
      <c r="R94" s="3">
        <v>1.7241904215268881E-2</v>
      </c>
      <c r="S94" s="2">
        <v>93.596274459561812</v>
      </c>
      <c r="T94" s="7">
        <v>40019.584674198188</v>
      </c>
      <c r="U94" t="s">
        <v>55</v>
      </c>
      <c r="V94" s="5">
        <v>0.17289243072705099</v>
      </c>
      <c r="W94">
        <f t="shared" si="3"/>
        <v>42712.591682215723</v>
      </c>
      <c r="X94">
        <f t="shared" si="4"/>
        <v>0.93695051267191487</v>
      </c>
      <c r="Y94">
        <f t="shared" si="5"/>
        <v>1.0839586266326449</v>
      </c>
    </row>
    <row r="95" spans="1:25" x14ac:dyDescent="0.25">
      <c r="A95" t="s">
        <v>32</v>
      </c>
      <c r="B95" s="9">
        <v>45915</v>
      </c>
      <c r="C95" s="2">
        <v>50.869998931884773</v>
      </c>
      <c r="D95" s="3">
        <v>7.297081167532987E-3</v>
      </c>
      <c r="E95" s="4">
        <v>0.3404523734443981</v>
      </c>
      <c r="F95" s="5">
        <v>3.4045237344439809E-3</v>
      </c>
      <c r="G95" s="4">
        <v>5.4045138803734076</v>
      </c>
      <c r="H95" s="5">
        <v>5.4045138803734079E-2</v>
      </c>
      <c r="I95" s="3">
        <v>0.12</v>
      </c>
      <c r="J95" s="2">
        <v>11895.913618921641</v>
      </c>
      <c r="K95" s="2">
        <v>1586121.815856219</v>
      </c>
      <c r="L95" s="6">
        <v>13.034680080829929</v>
      </c>
      <c r="M95" s="7">
        <v>1.482723245110714</v>
      </c>
      <c r="N95" s="6">
        <v>0.1731881187347416</v>
      </c>
      <c r="O95" s="2">
        <v>52164.248319585808</v>
      </c>
      <c r="P95" s="2">
        <v>564.3937903549612</v>
      </c>
      <c r="Q95" s="2">
        <v>28710.711512519269</v>
      </c>
      <c r="R95" s="3">
        <v>1.810120208013196E-2</v>
      </c>
      <c r="S95" s="2">
        <v>97.74629877714591</v>
      </c>
      <c r="T95" s="7">
        <v>40019.584674198188</v>
      </c>
      <c r="U95" t="s">
        <v>55</v>
      </c>
      <c r="V95" s="5">
        <v>0.17005596313292229</v>
      </c>
      <c r="W95">
        <f t="shared" si="3"/>
        <v>43305.511110073021</v>
      </c>
      <c r="X95">
        <f t="shared" si="4"/>
        <v>0.92412221096934444</v>
      </c>
      <c r="Y95">
        <f t="shared" si="5"/>
        <v>1.1020386366550901</v>
      </c>
    </row>
    <row r="96" spans="1:25" x14ac:dyDescent="0.25">
      <c r="A96" t="s">
        <v>32</v>
      </c>
      <c r="B96" s="9">
        <v>45916</v>
      </c>
      <c r="C96" s="2">
        <v>50.939998626708977</v>
      </c>
      <c r="D96" s="3">
        <v>7.297081167532987E-3</v>
      </c>
      <c r="E96" s="4">
        <v>0.33389034359364289</v>
      </c>
      <c r="F96" s="5">
        <v>3.3389034359364292E-3</v>
      </c>
      <c r="G96" s="4">
        <v>5.3003448858881237</v>
      </c>
      <c r="H96" s="5">
        <v>5.3003448858881239E-2</v>
      </c>
      <c r="I96" s="3">
        <v>0.12</v>
      </c>
      <c r="J96" s="2">
        <v>11920.609287349611</v>
      </c>
      <c r="K96" s="2">
        <v>1589414.5716466149</v>
      </c>
      <c r="L96" s="6">
        <v>13.57209763911151</v>
      </c>
      <c r="M96" s="7">
        <v>1.4826738068659611</v>
      </c>
      <c r="N96" s="6">
        <v>0.17008373644131561</v>
      </c>
      <c r="O96" s="2">
        <v>54314.971067490827</v>
      </c>
      <c r="P96" s="2">
        <v>587.64405228911141</v>
      </c>
      <c r="Q96" s="2">
        <v>29934.58721660103</v>
      </c>
      <c r="R96" s="3">
        <v>1.8833718873980849E-2</v>
      </c>
      <c r="S96" s="2">
        <v>99.948696110847891</v>
      </c>
      <c r="T96" s="7">
        <v>40019.584674198188</v>
      </c>
      <c r="U96" t="s">
        <v>55</v>
      </c>
      <c r="V96" s="5">
        <v>0.16677822917240581</v>
      </c>
      <c r="W96">
        <f t="shared" si="3"/>
        <v>44095.926847113595</v>
      </c>
      <c r="X96">
        <f t="shared" si="4"/>
        <v>0.90755739896229815</v>
      </c>
      <c r="Y96">
        <f t="shared" si="5"/>
        <v>1.1236972756938315</v>
      </c>
    </row>
    <row r="97" spans="1:25" x14ac:dyDescent="0.25">
      <c r="A97" t="s">
        <v>32</v>
      </c>
      <c r="B97" s="9">
        <v>45917</v>
      </c>
      <c r="C97" s="2">
        <v>50.930000305175781</v>
      </c>
      <c r="D97" s="3">
        <v>7.297081167532987E-3</v>
      </c>
      <c r="E97" s="4">
        <v>0.32972492073277382</v>
      </c>
      <c r="F97" s="5">
        <v>3.2972492073277378E-3</v>
      </c>
      <c r="G97" s="4">
        <v>5.2342208479164274</v>
      </c>
      <c r="H97" s="5">
        <v>5.2342208479164272E-2</v>
      </c>
      <c r="I97" s="3">
        <v>0.12</v>
      </c>
      <c r="J97" s="2">
        <v>11867.04708029137</v>
      </c>
      <c r="K97" s="2">
        <v>1582272.9440388491</v>
      </c>
      <c r="L97" s="6">
        <v>13.92362598262369</v>
      </c>
      <c r="M97" s="7">
        <v>1.4826251533552519</v>
      </c>
      <c r="N97" s="6">
        <v>0.16792890313544229</v>
      </c>
      <c r="O97" s="2">
        <v>55721.772898347474</v>
      </c>
      <c r="P97" s="2">
        <v>602.8447273320362</v>
      </c>
      <c r="Q97" s="2">
        <v>30702.88214699422</v>
      </c>
      <c r="R97" s="3">
        <v>1.9404289419639079E-2</v>
      </c>
      <c r="S97" s="2">
        <v>101.2350538218536</v>
      </c>
      <c r="T97" s="7">
        <v>40019.584674198202</v>
      </c>
      <c r="U97" t="s">
        <v>55</v>
      </c>
      <c r="V97" s="5">
        <v>0.16469760042162199</v>
      </c>
      <c r="W97">
        <f t="shared" ref="W97:W101" si="6">(1000000*I97/16)/(C97*F97)</f>
        <v>44661.757803246706</v>
      </c>
      <c r="X97">
        <f t="shared" ref="X97:X101" si="7">T97/W97</f>
        <v>0.89605932776987474</v>
      </c>
      <c r="Y97">
        <f t="shared" si="5"/>
        <v>1.1378929704276999</v>
      </c>
    </row>
    <row r="98" spans="1:25" x14ac:dyDescent="0.25">
      <c r="A98" t="s">
        <v>32</v>
      </c>
      <c r="B98" s="9">
        <v>45918</v>
      </c>
      <c r="C98" s="2">
        <v>50.930000305175781</v>
      </c>
      <c r="D98" s="3">
        <v>7.297081167532987E-3</v>
      </c>
      <c r="E98" s="4">
        <v>0.32504176068602819</v>
      </c>
      <c r="F98" s="5">
        <v>3.2504176068602819E-3</v>
      </c>
      <c r="G98" s="4">
        <v>5.1598779869148128</v>
      </c>
      <c r="H98" s="5">
        <v>5.1598779869148133E-2</v>
      </c>
      <c r="I98" s="3">
        <v>0.12</v>
      </c>
      <c r="J98" s="2">
        <v>11809.225177314151</v>
      </c>
      <c r="K98" s="2">
        <v>1574563.3569752211</v>
      </c>
      <c r="L98" s="6">
        <v>14.183664488025959</v>
      </c>
      <c r="M98" s="7">
        <v>1.4825772721224899</v>
      </c>
      <c r="N98" s="6">
        <v>0.1655437697093429</v>
      </c>
      <c r="O98" s="2">
        <v>56762.436196897273</v>
      </c>
      <c r="P98" s="2">
        <v>614.08366056712521</v>
      </c>
      <c r="Q98" s="2">
        <v>31275.28102008715</v>
      </c>
      <c r="R98" s="3">
        <v>1.9862827927208861E-2</v>
      </c>
      <c r="S98" s="2">
        <v>101.6577240871945</v>
      </c>
      <c r="T98" s="7">
        <v>40019.584674198188</v>
      </c>
      <c r="U98" t="s">
        <v>55</v>
      </c>
      <c r="V98" s="5">
        <v>0.16235836194254291</v>
      </c>
      <c r="W98">
        <f t="shared" si="6"/>
        <v>45305.238688041776</v>
      </c>
      <c r="X98">
        <f t="shared" si="7"/>
        <v>0.88333238788920176</v>
      </c>
      <c r="Y98">
        <f t="shared" si="5"/>
        <v>1.1542875865697384</v>
      </c>
    </row>
    <row r="99" spans="1:25" x14ac:dyDescent="0.25">
      <c r="A99" t="s">
        <v>32</v>
      </c>
      <c r="B99" s="9">
        <v>45919</v>
      </c>
      <c r="C99" s="2">
        <v>50.909999847412109</v>
      </c>
      <c r="D99" s="3">
        <v>7.297081167532987E-3</v>
      </c>
      <c r="E99" s="4">
        <v>0.32127945929265911</v>
      </c>
      <c r="F99" s="5">
        <v>3.2127945929265908E-3</v>
      </c>
      <c r="G99" s="4">
        <v>5.1001533038500542</v>
      </c>
      <c r="H99" s="5">
        <v>5.1001533038500538E-2</v>
      </c>
      <c r="I99" s="3">
        <v>0.12</v>
      </c>
      <c r="J99" s="2">
        <v>11809.881829059181</v>
      </c>
      <c r="K99" s="2">
        <v>1574650.9105412229</v>
      </c>
      <c r="L99" s="6">
        <v>14.04513502565618</v>
      </c>
      <c r="M99" s="7">
        <v>1.4825301509092961</v>
      </c>
      <c r="N99" s="6">
        <v>0.1635633722356592</v>
      </c>
      <c r="O99" s="2">
        <v>56208.047041979422</v>
      </c>
      <c r="P99" s="2">
        <v>608.06668188698325</v>
      </c>
      <c r="Q99" s="2">
        <v>30956.674682082699</v>
      </c>
      <c r="R99" s="3">
        <v>1.9659388931761761E-2</v>
      </c>
      <c r="S99" s="2">
        <v>99.457437033582806</v>
      </c>
      <c r="T99" s="7">
        <v>40019.584674198188</v>
      </c>
      <c r="U99" t="s">
        <v>55</v>
      </c>
      <c r="V99" s="5">
        <v>0.16047909236785099</v>
      </c>
      <c r="W99">
        <f t="shared" si="6"/>
        <v>45853.786807440811</v>
      </c>
      <c r="X99">
        <f t="shared" si="7"/>
        <v>0.87276509663764801</v>
      </c>
      <c r="Y99">
        <f t="shared" si="5"/>
        <v>1.1678047214804517</v>
      </c>
    </row>
    <row r="100" spans="1:25" x14ac:dyDescent="0.25">
      <c r="A100" t="s">
        <v>32</v>
      </c>
      <c r="B100" s="9">
        <v>45922</v>
      </c>
      <c r="C100" s="2">
        <v>50.830001831054688</v>
      </c>
      <c r="D100" s="3">
        <v>7.297081167532987E-3</v>
      </c>
      <c r="E100" s="4">
        <v>0.32136046182977651</v>
      </c>
      <c r="F100" s="5">
        <v>3.2136046182977651E-3</v>
      </c>
      <c r="G100" s="4">
        <v>5.1014391792627212</v>
      </c>
      <c r="H100" s="5">
        <v>5.1014391792627213E-2</v>
      </c>
      <c r="I100" s="3">
        <v>0.12</v>
      </c>
      <c r="J100" s="2">
        <v>11896.989331386671</v>
      </c>
      <c r="K100" s="2">
        <v>1586265.2441848889</v>
      </c>
      <c r="L100" s="6">
        <v>12.81302800323208</v>
      </c>
      <c r="M100" s="7">
        <v>1.4824837776518669</v>
      </c>
      <c r="N100" s="6">
        <v>0.16334752863236121</v>
      </c>
      <c r="O100" s="2">
        <v>51277.205910821896</v>
      </c>
      <c r="P100" s="2">
        <v>554.70678652484537</v>
      </c>
      <c r="Q100" s="2">
        <v>28195.746974756348</v>
      </c>
      <c r="R100" s="3">
        <v>1.7774925774941809E-2</v>
      </c>
      <c r="S100" s="2">
        <v>90.609982694432247</v>
      </c>
      <c r="T100" s="7">
        <v>40019.584674198202</v>
      </c>
      <c r="U100" t="s">
        <v>55</v>
      </c>
      <c r="V100" s="5">
        <v>0.16051955313575911</v>
      </c>
      <c r="W100">
        <f t="shared" si="6"/>
        <v>45914.376928713173</v>
      </c>
      <c r="X100">
        <f t="shared" si="7"/>
        <v>0.87161336712317261</v>
      </c>
      <c r="Y100">
        <f t="shared" si="5"/>
        <v>1.1675103630993395</v>
      </c>
    </row>
    <row r="101" spans="1:25" x14ac:dyDescent="0.25">
      <c r="A101" t="s">
        <v>32</v>
      </c>
      <c r="B101" s="9">
        <v>45923</v>
      </c>
      <c r="C101" s="2">
        <v>50.770000457763672</v>
      </c>
      <c r="D101" s="3">
        <v>7.297081167532987E-3</v>
      </c>
      <c r="E101" s="4">
        <v>0.31932184271093461</v>
      </c>
      <c r="F101" s="5">
        <v>3.193218427109346E-3</v>
      </c>
      <c r="G101" s="4">
        <v>5.0690771040240969</v>
      </c>
      <c r="H101" s="5">
        <v>5.0690771040240973E-2</v>
      </c>
      <c r="I101" s="3">
        <v>0.12</v>
      </c>
      <c r="J101" s="2">
        <v>11912.28457012195</v>
      </c>
      <c r="K101" s="2">
        <v>1588304.6093495931</v>
      </c>
      <c r="L101" s="6">
        <v>9.0568572408307499</v>
      </c>
      <c r="M101" s="7">
        <v>1.482438140477889</v>
      </c>
      <c r="N101" s="6">
        <v>0.16211970100608089</v>
      </c>
      <c r="O101" s="2">
        <v>36245.166523155123</v>
      </c>
      <c r="P101" s="2">
        <v>392.08105357572191</v>
      </c>
      <c r="Q101" s="2">
        <v>19905.955269519862</v>
      </c>
      <c r="R101" s="3">
        <v>1.2532832274327591E-2</v>
      </c>
      <c r="S101" s="2">
        <v>63.564063175845199</v>
      </c>
      <c r="T101" s="7">
        <v>40019.584674198188</v>
      </c>
      <c r="U101" t="s">
        <v>55</v>
      </c>
      <c r="V101" s="5">
        <v>0.15950126287034411</v>
      </c>
      <c r="W101">
        <f t="shared" si="6"/>
        <v>46262.113447388394</v>
      </c>
      <c r="X101">
        <f t="shared" si="7"/>
        <v>0.86506174690247295</v>
      </c>
      <c r="Y101">
        <f t="shared" si="5"/>
        <v>1.174963999616824</v>
      </c>
    </row>
  </sheetData>
  <autoFilter ref="A1:X10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5" x14ac:dyDescent="0.25"/>
  <sheetData>
    <row r="1" spans="1:2" x14ac:dyDescent="0.25">
      <c r="A1" s="8" t="s">
        <v>56</v>
      </c>
      <c r="B1" s="8" t="s">
        <v>57</v>
      </c>
    </row>
    <row r="2" spans="1:2" x14ac:dyDescent="0.25">
      <c r="A2" t="s">
        <v>58</v>
      </c>
      <c r="B2" t="s">
        <v>64</v>
      </c>
    </row>
    <row r="3" spans="1:2" x14ac:dyDescent="0.25">
      <c r="A3" t="s">
        <v>59</v>
      </c>
      <c r="B3" t="s">
        <v>65</v>
      </c>
    </row>
    <row r="4" spans="1:2" x14ac:dyDescent="0.25">
      <c r="A4" t="s">
        <v>60</v>
      </c>
      <c r="B4" t="s">
        <v>66</v>
      </c>
    </row>
    <row r="5" spans="1:2" x14ac:dyDescent="0.25">
      <c r="A5" t="s">
        <v>61</v>
      </c>
      <c r="B5" t="s">
        <v>66</v>
      </c>
    </row>
    <row r="6" spans="1:2" x14ac:dyDescent="0.25">
      <c r="A6" t="s">
        <v>62</v>
      </c>
      <c r="B6" t="s">
        <v>67</v>
      </c>
    </row>
    <row r="7" spans="1:2" x14ac:dyDescent="0.25">
      <c r="A7" t="s">
        <v>63</v>
      </c>
      <c r="B7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s="8" t="s">
        <v>69</v>
      </c>
      <c r="B1" s="8" t="s">
        <v>70</v>
      </c>
    </row>
    <row r="2" spans="1:2" x14ac:dyDescent="0.25">
      <c r="A2" t="s">
        <v>71</v>
      </c>
      <c r="B2" t="s">
        <v>74</v>
      </c>
    </row>
    <row r="3" spans="1:2" x14ac:dyDescent="0.25">
      <c r="A3" t="s">
        <v>61</v>
      </c>
      <c r="B3" t="s">
        <v>75</v>
      </c>
    </row>
    <row r="4" spans="1:2" x14ac:dyDescent="0.25">
      <c r="A4" t="s">
        <v>72</v>
      </c>
      <c r="B4" t="s">
        <v>76</v>
      </c>
    </row>
    <row r="5" spans="1:2" x14ac:dyDescent="0.25">
      <c r="A5" t="s">
        <v>73</v>
      </c>
      <c r="B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Final_Day_Report</vt:lpstr>
      <vt:lpstr>BBAX_Timeseries</vt:lpstr>
      <vt:lpstr>IVV_Timeseries</vt:lpstr>
      <vt:lpstr>HYD_Timeseries</vt:lpstr>
      <vt:lpstr>Leverage_Analysis</vt:lpstr>
      <vt:lpstr>Leverage_Controls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Rosario Lee</cp:lastModifiedBy>
  <dcterms:created xsi:type="dcterms:W3CDTF">2025-09-24T09:17:53Z</dcterms:created>
  <dcterms:modified xsi:type="dcterms:W3CDTF">2025-10-01T14:51:46Z</dcterms:modified>
</cp:coreProperties>
</file>